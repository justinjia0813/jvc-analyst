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op_down" sheetId="2" state="visible" r:id="rId2"/>
    <sheet xmlns:r="http://schemas.openxmlformats.org/officeDocument/2006/relationships" name="bottom_up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orthogonality_check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'assumptions'!$A$1:$I$1</definedName>
    <definedName name="_xlnm._FilterDatabase" localSheetId="1" hidden="1">'top_down'!$A$1:$L$1</definedName>
    <definedName name="_xlnm._FilterDatabase" localSheetId="2" hidden="1">'bottom_up'!$A$1:$L$1</definedName>
    <definedName name="_xlnm._FilterDatabase" localSheetId="3" hidden="1">'reconciliation'!$A$1:$H$1</definedName>
    <definedName name="_xlnm._FilterDatabase" localSheetId="4" hidden="1">'orthogonality_check'!$A$1:$F$1</definedName>
    <definedName name="_xlnm._FilterDatabase" localSheetId="5" hidden="1">'sources'!$A$1:$G$1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assumption_id</t>
        </is>
      </c>
      <c r="B1" s="1" t="inlineStr">
        <is>
          <t>variable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year</t>
        </is>
      </c>
      <c r="F1" s="1" t="inlineStr">
        <is>
          <t>geography</t>
        </is>
      </c>
      <c r="G1" s="1" t="inlineStr">
        <is>
          <t>source_id</t>
        </is>
      </c>
      <c r="H1" s="1" t="inlineStr">
        <is>
          <t>confidence</t>
        </is>
      </c>
      <c r="I1" s="1" t="inlineStr">
        <is>
          <t>notes</t>
        </is>
      </c>
    </row>
    <row r="2">
      <c r="A2" t="inlineStr">
        <is>
          <t>DEF1</t>
        </is>
      </c>
      <c r="B2" t="inlineStr">
        <is>
          <t>Total Addressable Market（TAM，总可及市场，理论上全部目标需求对应的收入池）</t>
        </is>
      </c>
      <c r="C2" t="inlineStr">
        <is>
          <t>术语定义</t>
        </is>
      </c>
      <c r="G2" t="inlineStr">
        <is>
          <t>术语</t>
        </is>
      </c>
      <c r="H2" t="inlineStr">
        <is>
          <t>高</t>
        </is>
      </c>
      <c r="I2" t="inlineStr">
        <is>
          <t>本模型为情景测算</t>
        </is>
      </c>
    </row>
    <row r="3">
      <c r="A3" t="inlineStr">
        <is>
          <t>DEF2</t>
        </is>
      </c>
      <c r="B3" t="inlineStr">
        <is>
          <t>Serviceable Available Market（SAM，可服务市场，产品与地域可覆盖的收入池）</t>
        </is>
      </c>
      <c r="C3" t="inlineStr">
        <is>
          <t>术语定义</t>
        </is>
      </c>
      <c r="G3" t="inlineStr">
        <is>
          <t>术语</t>
        </is>
      </c>
      <c r="H3" t="inlineStr">
        <is>
          <t>高</t>
        </is>
      </c>
      <c r="I3" t="inlineStr">
        <is>
          <t>SAM 不超过同口径 TAM</t>
        </is>
      </c>
    </row>
    <row r="4">
      <c r="A4" t="inlineStr">
        <is>
          <t>DEF3</t>
        </is>
      </c>
      <c r="B4" t="inlineStr">
        <is>
          <t>Serviceable Obtainable Market（SOM，可获得市场，给定期间现实可取得的收入池）</t>
        </is>
      </c>
      <c r="C4" t="inlineStr">
        <is>
          <t>术语定义</t>
        </is>
      </c>
      <c r="G4" t="inlineStr">
        <is>
          <t>术语</t>
        </is>
      </c>
      <c r="H4" t="inlineStr">
        <is>
          <t>高</t>
        </is>
      </c>
      <c r="I4" t="inlineStr">
        <is>
          <t>SOM 不超过同口径 SAM</t>
        </is>
      </c>
    </row>
    <row r="5">
      <c r="A5" t="inlineStr">
        <is>
          <t>DEF4</t>
        </is>
      </c>
      <c r="B5" t="inlineStr">
        <is>
          <t>Chinese Yuan Renminbi（CNY，人民币元，本工作簿金额币种）</t>
        </is>
      </c>
      <c r="C5" t="inlineStr">
        <is>
          <t>术语定义</t>
        </is>
      </c>
      <c r="G5" t="inlineStr">
        <is>
          <t>术语</t>
        </is>
      </c>
      <c r="H5" t="inlineStr">
        <is>
          <t>高</t>
        </is>
      </c>
      <c r="I5" t="inlineStr">
        <is>
          <t>公式结果以人民币元计</t>
        </is>
      </c>
    </row>
    <row r="6">
      <c r="A6" t="inlineStr">
        <is>
          <t>F1</t>
        </is>
      </c>
      <c r="B6" t="inlineStr">
        <is>
          <t>2024 中国机器视觉市场（剔除自动化集成）</t>
        </is>
      </c>
      <c r="C6" t="n">
        <v>181.47</v>
      </c>
      <c r="D6" t="inlineStr">
        <is>
          <t>人民币亿元</t>
        </is>
      </c>
      <c r="E6" t="inlineStr">
        <is>
          <t>2024</t>
        </is>
      </c>
      <c r="F6" t="inlineStr">
        <is>
          <t>中国大陆</t>
        </is>
      </c>
      <c r="G6" t="inlineStr">
        <is>
          <t>[S3]</t>
        </is>
      </c>
      <c r="H6" t="inlineStr">
        <is>
          <t>中</t>
        </is>
      </c>
      <c r="I6" t="inlineStr">
        <is>
          <t>奥普特年报转引高工数据，原报告定义未取得</t>
        </is>
      </c>
    </row>
    <row r="7">
      <c r="A7" t="inlineStr">
        <is>
          <t>F2</t>
        </is>
      </c>
      <c r="B7" t="inlineStr">
        <is>
          <t>制造业企业法人单位</t>
        </is>
      </c>
      <c r="C7" t="n">
        <v>4048000</v>
      </c>
      <c r="D7" t="inlineStr">
        <is>
          <t>个法人单位</t>
        </is>
      </c>
      <c r="E7" t="inlineStr">
        <is>
          <t>2023</t>
        </is>
      </c>
      <c r="F7" t="inlineStr">
        <is>
          <t>中国大陆</t>
        </is>
      </c>
      <c r="G7" t="inlineStr">
        <is>
          <t>[S1]</t>
        </is>
      </c>
      <c r="H7" t="inlineStr">
        <is>
          <t>高</t>
        </is>
      </c>
      <c r="I7" t="inlineStr">
        <is>
          <t>法人不等于工厂、产线或实际客户</t>
        </is>
      </c>
    </row>
    <row r="8">
      <c r="A8" t="inlineStr">
        <is>
          <t>U1</t>
        </is>
      </c>
      <c r="B8" t="inlineStr">
        <is>
          <t>机器视觉市场中的软件收入占比</t>
        </is>
      </c>
      <c r="C8" t="n">
        <v>0.4</v>
      </c>
      <c r="D8" t="inlineStr">
        <is>
          <t>比例</t>
        </is>
      </c>
      <c r="E8" t="inlineStr">
        <is>
          <t>2026</t>
        </is>
      </c>
      <c r="F8" t="inlineStr">
        <is>
          <t>中国大陆</t>
        </is>
      </c>
      <c r="G8" t="inlineStr">
        <is>
          <t>[推测]</t>
        </is>
      </c>
      <c r="H8" t="inlineStr">
        <is>
          <t>低</t>
        </is>
      </c>
      <c r="I8" t="inlineStr">
        <is>
          <t>未取得纯软件拆分</t>
        </is>
      </c>
    </row>
    <row r="9">
      <c r="A9" t="inlineStr">
        <is>
          <t>U2</t>
        </is>
      </c>
      <c r="B9" t="inlineStr">
        <is>
          <t>可服务行业和地域比例</t>
        </is>
      </c>
      <c r="C9" t="n">
        <v>0.6</v>
      </c>
      <c r="D9" t="inlineStr">
        <is>
          <t>比例</t>
        </is>
      </c>
      <c r="E9" t="inlineStr">
        <is>
          <t>2026</t>
        </is>
      </c>
      <c r="F9" t="inlineStr">
        <is>
          <t>中国大陆</t>
        </is>
      </c>
      <c r="G9" t="inlineStr">
        <is>
          <t>[推测]</t>
        </is>
      </c>
      <c r="H9" t="inlineStr">
        <is>
          <t>低</t>
        </is>
      </c>
      <c r="I9" t="inlineStr">
        <is>
          <t>需按行业和渠道校准</t>
        </is>
      </c>
    </row>
    <row r="10">
      <c r="A10" t="inlineStr">
        <is>
          <t>U3</t>
        </is>
      </c>
      <c r="B10" t="inlineStr">
        <is>
          <t>三年可获得渗透率</t>
        </is>
      </c>
      <c r="C10" t="n">
        <v>0.08</v>
      </c>
      <c r="D10" t="inlineStr">
        <is>
          <t>比例</t>
        </is>
      </c>
      <c r="E10" t="inlineStr">
        <is>
          <t>2026-2028</t>
        </is>
      </c>
      <c r="F10" t="inlineStr">
        <is>
          <t>中国大陆</t>
        </is>
      </c>
      <c r="G10" t="inlineStr">
        <is>
          <t>[用户假设]</t>
        </is>
      </c>
      <c r="H10" t="inlineStr">
        <is>
          <t>低</t>
        </is>
      </c>
      <c r="I10" t="inlineStr">
        <is>
          <t>不得解释为当前行业渗透率</t>
        </is>
      </c>
    </row>
    <row r="11">
      <c r="A11" t="inlineStr">
        <is>
          <t>U4</t>
        </is>
      </c>
      <c r="B11" t="inlineStr">
        <is>
          <t>可服务客户占制造法人比例</t>
        </is>
      </c>
      <c r="C11" t="n">
        <v>0.01</v>
      </c>
      <c r="D11" t="inlineStr">
        <is>
          <t>比例</t>
        </is>
      </c>
      <c r="E11" t="inlineStr">
        <is>
          <t>2026</t>
        </is>
      </c>
      <c r="F11" t="inlineStr">
        <is>
          <t>中国大陆</t>
        </is>
      </c>
      <c r="G11" t="inlineStr">
        <is>
          <t>[推测]</t>
        </is>
      </c>
      <c r="H11" t="inlineStr">
        <is>
          <t>低</t>
        </is>
      </c>
      <c r="I11" t="inlineStr">
        <is>
          <t>法人到适配客户的换算待验证</t>
        </is>
      </c>
    </row>
    <row r="12">
      <c r="A12" t="inlineStr">
        <is>
          <t>U5</t>
        </is>
      </c>
      <c r="B12" t="inlineStr">
        <is>
          <t>单客户质检软件年支出</t>
        </is>
      </c>
      <c r="C12" t="n">
        <v>120000</v>
      </c>
      <c r="D12" t="inlineStr">
        <is>
          <t>人民币元/客户/年</t>
        </is>
      </c>
      <c r="E12" t="inlineStr">
        <is>
          <t>2026</t>
        </is>
      </c>
      <c r="F12" t="inlineStr">
        <is>
          <t>中国大陆</t>
        </is>
      </c>
      <c r="G12" t="inlineStr">
        <is>
          <t>[用户假设]</t>
        </is>
      </c>
      <c r="H12" t="inlineStr">
        <is>
          <t>低</t>
        </is>
      </c>
      <c r="I12" t="inlineStr">
        <is>
          <t>不使用含硬件、定制和调试的整机价格 [S4]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2" customWidth="1" min="5" max="5"/>
    <col width="17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level</t>
        </is>
      </c>
      <c r="C1" s="1" t="inlineStr">
        <is>
          <t>parent_line_id</t>
        </is>
      </c>
      <c r="D1" s="1" t="inlineStr">
        <is>
          <t>market_item</t>
        </is>
      </c>
      <c r="E1" s="1" t="inlineStr">
        <is>
          <t>base_value</t>
        </is>
      </c>
      <c r="F1" s="1" t="inlineStr">
        <is>
          <t>filter_or_share</t>
        </is>
      </c>
      <c r="G1" s="1" t="inlineStr">
        <is>
          <t>calculated_value</t>
        </is>
      </c>
      <c r="H1" s="1" t="inlineStr">
        <is>
          <t>formula</t>
        </is>
      </c>
      <c r="I1" s="1" t="inlineStr">
        <is>
          <t>currency</t>
        </is>
      </c>
      <c r="J1" s="1" t="inlineStr">
        <is>
          <t>year</t>
        </is>
      </c>
      <c r="K1" s="1" t="inlineStr">
        <is>
          <t>source_id</t>
        </is>
      </c>
      <c r="L1" s="1" t="inlineStr">
        <is>
          <t>notes</t>
        </is>
      </c>
    </row>
    <row r="2">
      <c r="A2" t="inlineStr">
        <is>
          <t>T1</t>
        </is>
      </c>
      <c r="B2" t="inlineStr">
        <is>
          <t>TAM</t>
        </is>
      </c>
      <c r="D2" t="inlineStr">
        <is>
          <t>机器视觉市场（剔除自动化集成）</t>
        </is>
      </c>
      <c r="E2" t="n">
        <v>18147000000</v>
      </c>
      <c r="F2" t="n">
        <v>1</v>
      </c>
      <c r="G2">
        <f>E2*F2</f>
        <v/>
      </c>
      <c r="H2">
        <f>E2*F2</f>
        <v/>
      </c>
      <c r="I2" t="inlineStr">
        <is>
          <t>CNY</t>
        </is>
      </c>
      <c r="J2" t="inlineStr">
        <is>
          <t>2024</t>
        </is>
      </c>
      <c r="K2" t="inlineStr">
        <is>
          <t>[S3]</t>
        </is>
      </c>
      <c r="L2" t="inlineStr">
        <is>
          <t>年报转引值；原始行业报告未取得</t>
        </is>
      </c>
    </row>
    <row r="3">
      <c r="A3" t="inlineStr">
        <is>
          <t>T2</t>
        </is>
      </c>
      <c r="B3" t="inlineStr">
        <is>
          <t>SAM</t>
        </is>
      </c>
      <c r="C3" t="inlineStr">
        <is>
          <t>T1</t>
        </is>
      </c>
      <c r="D3" t="inlineStr">
        <is>
          <t>其中软件收入情景</t>
        </is>
      </c>
      <c r="E3">
        <f>G2</f>
        <v/>
      </c>
      <c r="F3" t="n">
        <v>0.4</v>
      </c>
      <c r="G3">
        <f>E3*F3</f>
        <v/>
      </c>
      <c r="H3">
        <f>E3*F3</f>
        <v/>
      </c>
      <c r="I3" t="inlineStr">
        <is>
          <t>CNY</t>
        </is>
      </c>
      <c r="J3" t="inlineStr">
        <is>
          <t>2026</t>
        </is>
      </c>
      <c r="K3" t="inlineStr">
        <is>
          <t>[S3]+[推测]</t>
        </is>
      </c>
      <c r="L3" t="inlineStr">
        <is>
          <t>40% 为推测</t>
        </is>
      </c>
    </row>
    <row r="4">
      <c r="A4" t="inlineStr">
        <is>
          <t>T3</t>
        </is>
      </c>
      <c r="B4" t="inlineStr">
        <is>
          <t>SAM</t>
        </is>
      </c>
      <c r="C4" t="inlineStr">
        <is>
          <t>T2</t>
        </is>
      </c>
      <c r="D4" t="inlineStr">
        <is>
          <t>可服务行业和地域情景</t>
        </is>
      </c>
      <c r="E4">
        <f>G3</f>
        <v/>
      </c>
      <c r="F4" t="n">
        <v>0.6</v>
      </c>
      <c r="G4">
        <f>E4*F4</f>
        <v/>
      </c>
      <c r="H4">
        <f>E4*F4</f>
        <v/>
      </c>
      <c r="I4" t="inlineStr">
        <is>
          <t>CNY</t>
        </is>
      </c>
      <c r="J4" t="inlineStr">
        <is>
          <t>2026</t>
        </is>
      </c>
      <c r="K4" t="inlineStr">
        <is>
          <t>[推测]</t>
        </is>
      </c>
      <c r="L4" t="inlineStr">
        <is>
          <t>60% 为推测</t>
        </is>
      </c>
    </row>
    <row r="5">
      <c r="A5" t="inlineStr">
        <is>
          <t>T4</t>
        </is>
      </c>
      <c r="B5" t="inlineStr">
        <is>
          <t>SOM</t>
        </is>
      </c>
      <c r="C5" t="inlineStr">
        <is>
          <t>T3</t>
        </is>
      </c>
      <c r="D5" t="inlineStr">
        <is>
          <t>三年可获得情景</t>
        </is>
      </c>
      <c r="E5">
        <f>G4</f>
        <v/>
      </c>
      <c r="F5" t="n">
        <v>0.08</v>
      </c>
      <c r="G5">
        <f>E5*F5</f>
        <v/>
      </c>
      <c r="H5">
        <f>E5*F5</f>
        <v/>
      </c>
      <c r="I5" t="inlineStr">
        <is>
          <t>CNY</t>
        </is>
      </c>
      <c r="J5" t="inlineStr">
        <is>
          <t>2026-2028</t>
        </is>
      </c>
      <c r="K5" t="inlineStr">
        <is>
          <t>[用户假设]</t>
        </is>
      </c>
      <c r="L5" t="inlineStr">
        <is>
          <t>8% 为用户假设；结果 3.484224 亿元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23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segment</t>
        </is>
      </c>
      <c r="C1" s="1" t="inlineStr">
        <is>
          <t>customer_count</t>
        </is>
      </c>
      <c r="D1" s="1" t="inlineStr">
        <is>
          <t>units_per_customer</t>
        </is>
      </c>
      <c r="E1" s="1" t="inlineStr">
        <is>
          <t>annual_price_or_spend</t>
        </is>
      </c>
      <c r="F1" s="1" t="inlineStr">
        <is>
          <t>penetration_rate</t>
        </is>
      </c>
      <c r="G1" s="1" t="inlineStr">
        <is>
          <t>calculated_value</t>
        </is>
      </c>
      <c r="H1" s="1" t="inlineStr">
        <is>
          <t>formula</t>
        </is>
      </c>
      <c r="I1" s="1" t="inlineStr">
        <is>
          <t>currency</t>
        </is>
      </c>
      <c r="J1" s="1" t="inlineStr">
        <is>
          <t>year</t>
        </is>
      </c>
      <c r="K1" s="1" t="inlineStr">
        <is>
          <t>source_id</t>
        </is>
      </c>
      <c r="L1" s="1" t="inlineStr">
        <is>
          <t>notes</t>
        </is>
      </c>
    </row>
    <row r="2">
      <c r="A2" t="inlineStr">
        <is>
          <t>B1</t>
        </is>
      </c>
      <c r="B2" t="inlineStr">
        <is>
          <t>全部制造法人上界</t>
        </is>
      </c>
      <c r="C2" t="n">
        <v>4048000</v>
      </c>
      <c r="D2" t="n">
        <v>1</v>
      </c>
      <c r="E2" t="n">
        <v>120000</v>
      </c>
      <c r="F2" t="n">
        <v>1</v>
      </c>
      <c r="G2">
        <f>C2*D2*E2*F2</f>
        <v/>
      </c>
      <c r="H2">
        <f>C2*D2*E2*F2</f>
        <v/>
      </c>
      <c r="I2" t="inlineStr">
        <is>
          <t>CNY</t>
        </is>
      </c>
      <c r="J2" t="inlineStr">
        <is>
          <t>2026</t>
        </is>
      </c>
      <c r="K2" t="inlineStr">
        <is>
          <t>[S1]+[用户假设]</t>
        </is>
      </c>
      <c r="L2" t="inlineStr">
        <is>
          <t>数学上界；法人不是实际客户</t>
        </is>
      </c>
    </row>
    <row r="3">
      <c r="A3" t="inlineStr">
        <is>
          <t>B2</t>
        </is>
      </c>
      <c r="B3" t="inlineStr">
        <is>
          <t>可服务客户情景</t>
        </is>
      </c>
      <c r="C3">
        <f>C2*1%</f>
        <v/>
      </c>
      <c r="D3" t="n">
        <v>1</v>
      </c>
      <c r="E3" t="n">
        <v>120000</v>
      </c>
      <c r="F3" t="n">
        <v>1</v>
      </c>
      <c r="G3">
        <f>C3*D3*E3*F3</f>
        <v/>
      </c>
      <c r="H3">
        <f>C3*D3*E3*F3</f>
        <v/>
      </c>
      <c r="I3" t="inlineStr">
        <is>
          <t>CNY</t>
        </is>
      </c>
      <c r="J3" t="inlineStr">
        <is>
          <t>2026</t>
        </is>
      </c>
      <c r="K3" t="inlineStr">
        <is>
          <t>[S1]+[推测]+[用户假设]</t>
        </is>
      </c>
      <c r="L3" t="inlineStr">
        <is>
          <t>1% 为推测</t>
        </is>
      </c>
    </row>
    <row r="4">
      <c r="A4" t="inlineStr">
        <is>
          <t>B3</t>
        </is>
      </c>
      <c r="B4" t="inlineStr">
        <is>
          <t>三年可获得客户</t>
        </is>
      </c>
      <c r="C4">
        <f>C3</f>
        <v/>
      </c>
      <c r="D4" t="n">
        <v>1</v>
      </c>
      <c r="E4" t="n">
        <v>120000</v>
      </c>
      <c r="F4" t="n">
        <v>0.08</v>
      </c>
      <c r="G4">
        <f>C4*D4*E4*F4</f>
        <v/>
      </c>
      <c r="H4">
        <f>C4*D4*E4*F4</f>
        <v/>
      </c>
      <c r="I4" t="inlineStr">
        <is>
          <t>CNY</t>
        </is>
      </c>
      <c r="J4" t="inlineStr">
        <is>
          <t>2026-2028</t>
        </is>
      </c>
      <c r="K4" t="inlineStr">
        <is>
          <t>[S1]+[推测]+[用户假设]</t>
        </is>
      </c>
      <c r="L4" t="inlineStr">
        <is>
          <t>结果 3.88608 亿元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16" customWidth="1" min="5" max="5"/>
    <col width="13" customWidth="1" min="6" max="6"/>
    <col width="17" customWidth="1" min="7" max="7"/>
    <col width="12" customWidth="1" min="8" max="8"/>
  </cols>
  <sheetData>
    <row r="1">
      <c r="A1" s="1" t="inlineStr">
        <is>
          <t>metric</t>
        </is>
      </c>
      <c r="B1" s="1" t="inlineStr">
        <is>
          <t>top_down_value</t>
        </is>
      </c>
      <c r="C1" s="1" t="inlineStr">
        <is>
          <t>bottom_up_value</t>
        </is>
      </c>
      <c r="D1" s="1" t="inlineStr">
        <is>
          <t>difference</t>
        </is>
      </c>
      <c r="E1" s="1" t="inlineStr">
        <is>
          <t>difference_pct</t>
        </is>
      </c>
      <c r="F1" s="1" t="inlineStr">
        <is>
          <t>explanation</t>
        </is>
      </c>
      <c r="G1" s="1" t="inlineStr">
        <is>
          <t>preferred_value</t>
        </is>
      </c>
      <c r="H1" s="1" t="inlineStr">
        <is>
          <t>reason</t>
        </is>
      </c>
    </row>
    <row r="2">
      <c r="A2" t="inlineStr">
        <is>
          <t>TAM</t>
        </is>
      </c>
      <c r="B2">
        <f>top_down!G2</f>
        <v/>
      </c>
      <c r="C2">
        <f>bottom_up!G2</f>
        <v/>
      </c>
      <c r="D2">
        <f>ABS(B2-C2)</f>
        <v/>
      </c>
      <c r="E2">
        <f>D2/MAX(B2,C2)</f>
        <v/>
      </c>
      <c r="F2" t="inlineStr">
        <is>
          <t>顶部以行业额为起点，底部把全部法人视为上界；定义不同</t>
        </is>
      </c>
      <c r="G2" t="inlineStr">
        <is>
          <t>不选点估计</t>
        </is>
      </c>
      <c r="H2" t="inlineStr">
        <is>
          <t>底部上界明显过宽</t>
        </is>
      </c>
    </row>
    <row r="3">
      <c r="A3" t="inlineStr">
        <is>
          <t>SAM</t>
        </is>
      </c>
      <c r="B3">
        <f>top_down!G4</f>
        <v/>
      </c>
      <c r="C3">
        <f>bottom_up!G3</f>
        <v/>
      </c>
      <c r="D3">
        <f>ABS(B3-C3)</f>
        <v/>
      </c>
      <c r="E3">
        <f>D3/MAX(B3,C3)</f>
        <v/>
      </c>
      <c r="F3" t="inlineStr">
        <is>
          <t>顶部软件占比与服务比例均为推测，底部客户比例也是推测</t>
        </is>
      </c>
      <c r="G3">
        <f>C3</f>
        <v/>
      </c>
      <c r="H3" t="inlineStr">
        <is>
          <t>底部变量可通过客户访谈校准</t>
        </is>
      </c>
    </row>
    <row r="4">
      <c r="A4" t="inlineStr">
        <is>
          <t>SOM</t>
        </is>
      </c>
      <c r="B4">
        <f>top_down!G5</f>
        <v/>
      </c>
      <c r="C4">
        <f>bottom_up!G4</f>
        <v/>
      </c>
      <c r="D4">
        <f>ABS(B4-C4)</f>
        <v/>
      </c>
      <c r="E4">
        <f>D4/MAX(B4,C4)</f>
        <v/>
      </c>
      <c r="F4" t="inlineStr">
        <is>
          <t>两种情景约为 3.48 亿元和 3.89 亿元</t>
        </is>
      </c>
      <c r="G4">
        <f>AVERAGE(B4,C4)</f>
        <v/>
      </c>
      <c r="H4" t="inlineStr">
        <is>
          <t>仅作情景中点，不是市场事实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2" customWidth="1" min="5" max="5"/>
    <col width="12" customWidth="1" min="6" max="6"/>
  </cols>
  <sheetData>
    <row r="1">
      <c r="A1" s="1" t="inlineStr">
        <is>
          <t>item_a</t>
        </is>
      </c>
      <c r="B1" s="1" t="inlineStr">
        <is>
          <t>item_b</t>
        </is>
      </c>
      <c r="C1" s="1" t="inlineStr">
        <is>
          <t>overlap_risk</t>
        </is>
      </c>
      <c r="D1" s="1" t="inlineStr">
        <is>
          <t>overlap_description</t>
        </is>
      </c>
      <c r="E1" s="1" t="inlineStr">
        <is>
          <t>resolution</t>
        </is>
      </c>
      <c r="F1" s="1" t="inlineStr">
        <is>
          <t>status</t>
        </is>
      </c>
    </row>
    <row r="2">
      <c r="A2" t="inlineStr">
        <is>
          <t>安防视频监控</t>
        </is>
      </c>
      <c r="B2" t="inlineStr">
        <is>
          <t>工业产线质检软件</t>
        </is>
      </c>
      <c r="C2" t="inlineStr">
        <is>
          <t>是</t>
        </is>
      </c>
      <c r="D2" t="inlineStr">
        <is>
          <t>视觉技术重叠但采购预算不同</t>
        </is>
      </c>
      <c r="E2" t="inlineStr">
        <is>
          <t>排除安防预算</t>
        </is>
      </c>
      <c r="F2" t="inlineStr">
        <is>
          <t>clear</t>
        </is>
      </c>
    </row>
    <row r="3">
      <c r="A3" t="inlineStr">
        <is>
          <t>硬件/光源/相机</t>
        </is>
      </c>
      <c r="B3" t="inlineStr">
        <is>
          <t>软件许可/订阅/维护</t>
        </is>
      </c>
      <c r="C3" t="inlineStr">
        <is>
          <t>是</t>
        </is>
      </c>
      <c r="D3" t="inlineStr">
        <is>
          <t>整机合同混含硬件、软件、定制和调试 [S4]</t>
        </is>
      </c>
      <c r="E3" t="inlineStr">
        <is>
          <t>模型只使用给定软件年支出</t>
        </is>
      </c>
      <c r="F3" t="inlineStr">
        <is>
          <t>clear</t>
        </is>
      </c>
    </row>
    <row r="4">
      <c r="A4" t="inlineStr">
        <is>
          <t>自动化集成</t>
        </is>
      </c>
      <c r="B4" t="inlineStr">
        <is>
          <t>工业视觉软件</t>
        </is>
      </c>
      <c r="C4" t="inlineStr">
        <is>
          <t>是</t>
        </is>
      </c>
      <c r="D4" t="inlineStr">
        <is>
          <t>181.47 亿元声称剔除集成但原始定义未取得 [S3]</t>
        </is>
      </c>
      <c r="E4" t="inlineStr">
        <is>
          <t>不再叠加集成收入</t>
        </is>
      </c>
      <c r="F4" t="inlineStr">
        <is>
          <t>needs_review</t>
        </is>
      </c>
    </row>
    <row r="5">
      <c r="A5" t="inlineStr">
        <is>
          <t>法人单位</t>
        </is>
      </c>
      <c r="B5" t="inlineStr">
        <is>
          <t>工厂/产线/客户</t>
        </is>
      </c>
      <c r="C5" t="inlineStr">
        <is>
          <t>是</t>
        </is>
      </c>
      <c r="D5" t="inlineStr">
        <is>
          <t>404.8 万法人不是实际客户 [S1]</t>
        </is>
      </c>
      <c r="E5" t="inlineStr">
        <is>
          <t>使用 1% 推测折减并做敏感性</t>
        </is>
      </c>
      <c r="F5" t="inlineStr">
        <is>
          <t>needs_review</t>
        </is>
      </c>
    </row>
    <row r="6">
      <c r="A6" t="inlineStr">
        <is>
          <t>数字化采用率</t>
        </is>
      </c>
      <c r="B6" t="inlineStr">
        <is>
          <t>机器视觉渗透率</t>
        </is>
      </c>
      <c r="C6" t="inlineStr">
        <is>
          <t>是</t>
        </is>
      </c>
      <c r="D6" t="inlineStr">
        <is>
          <t>统计口径不同 [S2]</t>
        </is>
      </c>
      <c r="E6" t="inlineStr">
        <is>
          <t>不使用数字化率作为视觉渗透率</t>
        </is>
      </c>
      <c r="F6" t="inlineStr">
        <is>
          <t>clear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7" customWidth="1" min="4" max="4"/>
    <col width="12" customWidth="1" min="5" max="5"/>
    <col width="18" customWidth="1" min="6" max="6"/>
    <col width="13" customWidth="1" min="7" max="7"/>
  </cols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url_or_location</t>
        </is>
      </c>
      <c r="E1" s="1" t="inlineStr">
        <is>
          <t>date</t>
        </is>
      </c>
      <c r="F1" s="1" t="inlineStr">
        <is>
          <t>fields_supported</t>
        </is>
      </c>
      <c r="G1" s="1" t="inlineStr">
        <is>
          <t>reliability</t>
        </is>
      </c>
    </row>
    <row r="2">
      <c r="A2" t="inlineStr">
        <is>
          <t>[S1]</t>
        </is>
      </c>
      <c r="B2" t="inlineStr">
        <is>
          <t>国家统计局第五次全国经济普查工业结果</t>
        </is>
      </c>
      <c r="C2" t="inlineStr">
        <is>
          <t>政府</t>
        </is>
      </c>
      <c r="D2" t="inlineStr">
        <is>
          <t>https://www.stats.gov.cn/xxgk/jd/sjjd2020/202502/t20250227_1958812.html</t>
        </is>
      </c>
      <c r="E2" t="inlineStr">
        <is>
          <t>2025-02-27</t>
        </is>
      </c>
      <c r="F2" t="inlineStr">
        <is>
          <t>工业收入、制造法人单位</t>
        </is>
      </c>
      <c r="G2" t="inlineStr">
        <is>
          <t>高</t>
        </is>
      </c>
    </row>
    <row r="3">
      <c r="A3" t="inlineStr">
        <is>
          <t>[S2]</t>
        </is>
      </c>
      <c r="B3" t="inlineStr">
        <is>
          <t>国家统计局企业数字化转型</t>
        </is>
      </c>
      <c r="C3" t="inlineStr">
        <is>
          <t>政府</t>
        </is>
      </c>
      <c r="D3" t="inlineStr">
        <is>
          <t>https://www.stats.gov.cn/xxgk/jd/sjjd2020/202502/t20250227_1958814.html</t>
        </is>
      </c>
      <c r="E3" t="inlineStr">
        <is>
          <t>2025-02-28</t>
        </is>
      </c>
      <c r="F3" t="inlineStr">
        <is>
          <t>数字化率边界</t>
        </is>
      </c>
      <c r="G3" t="inlineStr">
        <is>
          <t>高</t>
        </is>
      </c>
    </row>
    <row r="4">
      <c r="A4" t="inlineStr">
        <is>
          <t>[S3]</t>
        </is>
      </c>
      <c r="B4" t="inlineStr">
        <is>
          <t>奥普特 2025 年年度报告</t>
        </is>
      </c>
      <c r="C4" t="inlineStr">
        <is>
          <t>公司年报</t>
        </is>
      </c>
      <c r="D4" t="inlineStr">
        <is>
          <t>https://www.optmv.com/Upload/File/202604/b1017ba56d8544ec91339d3714aed6e2.pdf</t>
        </is>
      </c>
      <c r="E4" t="inlineStr">
        <is>
          <t>2026-04-03</t>
        </is>
      </c>
      <c r="F4" t="inlineStr">
        <is>
          <t>181.47 亿元二次转引</t>
        </is>
      </c>
      <c r="G4" t="inlineStr">
        <is>
          <t>中</t>
        </is>
      </c>
    </row>
    <row r="5">
      <c r="A5" t="inlineStr">
        <is>
          <t>[S4]</t>
        </is>
      </c>
      <c r="B5" t="inlineStr">
        <is>
          <t>双元科技第二轮问询回复</t>
        </is>
      </c>
      <c r="C5" t="inlineStr">
        <is>
          <t>监管披露</t>
        </is>
      </c>
      <c r="D5" t="inlineStr">
        <is>
          <t>https://static.sse.com.cn/stock/disclosure/announcement/c/202303/001185_20230331_MG77.pdf</t>
        </is>
      </c>
      <c r="E5" t="inlineStr">
        <is>
          <t>2023-03-31</t>
        </is>
      </c>
      <c r="F5" t="inlineStr">
        <is>
          <t>整机价格与验收滞后</t>
        </is>
      </c>
      <c r="G5" t="inlineStr">
        <is>
          <t>高</t>
        </is>
      </c>
    </row>
    <row r="6">
      <c r="A6" t="inlineStr">
        <is>
          <t>[S5]</t>
        </is>
      </c>
      <c r="B6" t="inlineStr">
        <is>
          <t>中国机器视觉产业联盟报告发布页</t>
        </is>
      </c>
      <c r="C6" t="inlineStr">
        <is>
          <t>行业协会</t>
        </is>
      </c>
      <c r="D6" t="inlineStr">
        <is>
          <t>https://www.china-vision.org/user/bilin.html</t>
        </is>
      </c>
      <c r="E6" t="inlineStr">
        <is>
          <t>2025-06-19</t>
        </is>
      </c>
      <c r="F6" t="inlineStr">
        <is>
          <t>2024 销售额增速；绝对额缺失</t>
        </is>
      </c>
      <c r="G6" t="inlineStr">
        <is>
          <t>中</t>
        </is>
      </c>
    </row>
    <row r="7">
      <c r="A7" t="inlineStr">
        <is>
          <t>[S6]</t>
        </is>
      </c>
      <c r="B7" t="inlineStr">
        <is>
          <t>凌云光 VisionChina 活动稿</t>
        </is>
      </c>
      <c r="C7" t="inlineStr">
        <is>
          <t>公司材料</t>
        </is>
      </c>
      <c r="D7" t="inlineStr">
        <is>
          <t>https://www.lusterinc.com/%E6%99%BA%E9%80%A0%E6%96%B0%E8%A7%86%E7%95%8C%EF%BC%81%E5%87%8C%E4%BA%91%E5%85%89%E4%BA%AE%E7%9B%B82025-visionchina%E5%8C%97%E4%BA%AC%E5%B1%95/</t>
        </is>
      </c>
      <c r="E7" t="inlineStr">
        <is>
          <t>2025-06-19</t>
        </is>
      </c>
      <c r="F7" t="inlineStr">
        <is>
          <t>395.4 亿元转引；未用于公式</t>
        </is>
      </c>
      <c r="G7" t="inlineStr">
        <is>
          <t>低</t>
        </is>
      </c>
    </row>
    <row r="8">
      <c r="A8" t="inlineStr">
        <is>
          <t>[S7]</t>
        </is>
      </c>
      <c r="B8" t="inlineStr">
        <is>
          <t>凌云光 VisionChina 活动稿</t>
        </is>
      </c>
      <c r="C8" t="inlineStr">
        <is>
          <t>公司材料</t>
        </is>
      </c>
      <c r="D8" t="inlineStr">
        <is>
          <t>https://www.lusterinc.com/%E4%BB%8E%E5%A4%A7%E5%92%96%E8%A7%82%E7%82%B9%E5%88%B0%E7%A1%AC%E6%A0%B8%E5%B1%95%E5%93%81%EF%BC%8C%E5%87%8C%E4%BA%91%E5%85%89-x-jai%E7%9A%84visionchina%E4%B9%8B%E6%97%85/</t>
        </is>
      </c>
      <c r="E8" t="inlineStr">
        <is>
          <t>2026-06-26</t>
        </is>
      </c>
      <c r="F8" t="inlineStr">
        <is>
          <t>超过 400 亿元总产值；未用于公式</t>
        </is>
      </c>
      <c r="G8" t="inlineStr">
        <is>
          <t>低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2026-07-29T16:21:23Z</dcterms:created>
  <dcterms:modified xmlns:dcterms="http://purl.org/dc/terms/" xmlns:xsi="http://www.w3.org/2001/XMLSchema-instance" xsi:type="dcterms:W3CDTF">2026-07-29T16:22:00Z</dcterms:modified>
</cp:coreProperties>
</file>