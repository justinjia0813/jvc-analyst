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op_down" sheetId="2" state="visible" r:id="rId2"/>
    <sheet xmlns:r="http://schemas.openxmlformats.org/officeDocument/2006/relationships" name="bottom_up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orthogonality_check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'assumptions'!$A$1:$I$12</definedName>
    <definedName name="_xlnm._FilterDatabase" localSheetId="1" hidden="1">'top_down'!$A$1:$L$4</definedName>
    <definedName name="_xlnm._FilterDatabase" localSheetId="2" hidden="1">'bottom_up'!$A$1:$L$4</definedName>
    <definedName name="_xlnm._FilterDatabase" localSheetId="3" hidden="1">'reconciliation'!$A$1:$H$4</definedName>
    <definedName name="_xlnm._FilterDatabase" localSheetId="4" hidden="1">'orthogonality_check'!$A$1:$F$7</definedName>
    <definedName name="_xlnm._FilterDatabase" localSheetId="5" hidden="1">'sources'!$A$1:$G$11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8" customWidth="1" min="9" max="9"/>
  </cols>
  <sheetData>
    <row r="1">
      <c r="A1" s="3" t="inlineStr">
        <is>
          <t>assumption_id</t>
        </is>
      </c>
      <c r="B1" s="3" t="inlineStr">
        <is>
          <t>variable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year</t>
        </is>
      </c>
      <c r="F1" s="3" t="inlineStr">
        <is>
          <t>geography</t>
        </is>
      </c>
      <c r="G1" s="3" t="inlineStr">
        <is>
          <t>source_id</t>
        </is>
      </c>
      <c r="H1" s="3" t="inlineStr">
        <is>
          <t>confidence</t>
        </is>
      </c>
      <c r="I1" s="3" t="inlineStr">
        <is>
          <t>notes</t>
        </is>
      </c>
    </row>
    <row r="2">
      <c r="A2" s="2" t="inlineStr">
        <is>
          <t>DEF1</t>
        </is>
      </c>
      <c r="B2" s="2" t="inlineStr">
        <is>
          <t>Total Addressable Market（TAM，总可及市场，理论上所有目标需求对应的收入池）</t>
        </is>
      </c>
      <c r="C2" s="2" t="inlineStr">
        <is>
          <t>术语定义</t>
        </is>
      </c>
      <c r="D2" s="2" t="inlineStr"/>
      <c r="E2" s="2" t="inlineStr"/>
      <c r="F2" s="2" t="inlineStr"/>
      <c r="G2" s="2" t="inlineStr">
        <is>
          <t>术语</t>
        </is>
      </c>
      <c r="H2" s="2" t="inlineStr">
        <is>
          <t>高</t>
        </is>
      </c>
      <c r="I2" s="2" t="inlineStr">
        <is>
          <t>本模型只输出情景，不把 TAM 当已验证事实</t>
        </is>
      </c>
    </row>
    <row r="3">
      <c r="A3" s="2" t="inlineStr">
        <is>
          <t>DEF2</t>
        </is>
      </c>
      <c r="B3" s="2" t="inlineStr">
        <is>
          <t>Serviceable Available Market（SAM，可服务市场，产品和地域实际覆盖的收入池）</t>
        </is>
      </c>
      <c r="C3" s="2" t="inlineStr">
        <is>
          <t>术语定义</t>
        </is>
      </c>
      <c r="D3" s="2" t="inlineStr"/>
      <c r="E3" s="2" t="inlineStr"/>
      <c r="F3" s="2" t="inlineStr"/>
      <c r="G3" s="2" t="inlineStr">
        <is>
          <t>术语</t>
        </is>
      </c>
      <c r="H3" s="2" t="inlineStr">
        <is>
          <t>高</t>
        </is>
      </c>
      <c r="I3" s="2" t="inlineStr">
        <is>
          <t>SAM 必须小于或等于相同口径 TAM</t>
        </is>
      </c>
    </row>
    <row r="4">
      <c r="A4" s="2" t="inlineStr">
        <is>
          <t>DEF3</t>
        </is>
      </c>
      <c r="B4" s="2" t="inlineStr">
        <is>
          <t>Serviceable Obtainable Market（SOM，可获得市场，给定期间可现实取得的收入池）</t>
        </is>
      </c>
      <c r="C4" s="2" t="inlineStr">
        <is>
          <t>术语定义</t>
        </is>
      </c>
      <c r="D4" s="2" t="inlineStr"/>
      <c r="E4" s="2" t="inlineStr"/>
      <c r="F4" s="2" t="inlineStr"/>
      <c r="G4" s="2" t="inlineStr">
        <is>
          <t>术语</t>
        </is>
      </c>
      <c r="H4" s="2" t="inlineStr">
        <is>
          <t>高</t>
        </is>
      </c>
      <c r="I4" s="2" t="inlineStr">
        <is>
          <t>SOM 必须小于或等于相同口径 SAM</t>
        </is>
      </c>
    </row>
    <row r="5">
      <c r="A5" s="2" t="inlineStr">
        <is>
          <t>DEF4</t>
        </is>
      </c>
      <c r="B5" s="2" t="inlineStr">
        <is>
          <t>Chinese Yuan Renminbi（CNY，人民币元，本工作簿金额的币种单位）</t>
        </is>
      </c>
      <c r="C5" s="2" t="inlineStr">
        <is>
          <t>术语定义</t>
        </is>
      </c>
      <c r="D5" s="2" t="inlineStr"/>
      <c r="E5" s="2" t="inlineStr"/>
      <c r="F5" s="2" t="inlineStr"/>
      <c r="G5" s="2" t="inlineStr">
        <is>
          <t>术语</t>
        </is>
      </c>
      <c r="H5" s="2" t="inlineStr">
        <is>
          <t>高</t>
        </is>
      </c>
      <c r="I5" s="2" t="inlineStr">
        <is>
          <t>所有人民币模型行使用 CNY</t>
        </is>
      </c>
    </row>
    <row r="6">
      <c r="A6" s="2" t="inlineStr">
        <is>
          <t>DEF5</t>
        </is>
      </c>
      <c r="B6" s="2" t="inlineStr">
        <is>
          <t>模型标签</t>
        </is>
      </c>
      <c r="C6" s="2" t="inlineStr">
        <is>
          <t>[外部事实]/[用户假设]/[模型估算]</t>
        </is>
      </c>
      <c r="D6" s="2" t="inlineStr"/>
      <c r="E6" s="2" t="inlineStr"/>
      <c r="F6" s="2" t="inlineStr"/>
      <c r="G6" s="2" t="inlineStr">
        <is>
          <t>分类</t>
        </is>
      </c>
      <c r="H6" s="2" t="inlineStr">
        <is>
          <t>高</t>
        </is>
      </c>
      <c r="I6" s="2" t="inlineStr">
        <is>
          <t>三类信息不得互相升级</t>
        </is>
      </c>
    </row>
    <row r="7">
      <c r="A7" s="2" t="inlineStr">
        <is>
          <t>F1</t>
        </is>
      </c>
      <c r="B7" s="2" t="inlineStr">
        <is>
          <t>2023工业企业营业收入</t>
        </is>
      </c>
      <c r="C7" s="2" t="n">
        <v>152400000000000</v>
      </c>
      <c r="D7" s="2" t="inlineStr">
        <is>
          <t>人民币元</t>
        </is>
      </c>
      <c r="E7" s="2" t="inlineStr">
        <is>
          <t>2023</t>
        </is>
      </c>
      <c r="F7" s="2" t="inlineStr">
        <is>
          <t>中国大陆</t>
        </is>
      </c>
      <c r="G7" s="2" t="inlineStr">
        <is>
          <t>[S1]</t>
        </is>
      </c>
      <c r="H7" s="2" t="inlineStr">
        <is>
          <t>高</t>
        </is>
      </c>
      <c r="I7" s="2" t="inlineStr">
        <is>
          <t>[外部事实] 国家统计局口径；不是软件支出</t>
        </is>
      </c>
    </row>
    <row r="8">
      <c r="A8" s="2" t="inlineStr">
        <is>
          <t>F2</t>
        </is>
      </c>
      <c r="B8" s="2" t="inlineStr">
        <is>
          <t>制造业企业法人单位</t>
        </is>
      </c>
      <c r="C8" s="2" t="n">
        <v>4048000</v>
      </c>
      <c r="D8" s="2" t="inlineStr">
        <is>
          <t>个法人单位</t>
        </is>
      </c>
      <c r="E8" s="2" t="inlineStr">
        <is>
          <t>2023</t>
        </is>
      </c>
      <c r="F8" s="2" t="inlineStr">
        <is>
          <t>中国大陆</t>
        </is>
      </c>
      <c r="G8" s="2" t="inlineStr">
        <is>
          <t>[S1]</t>
        </is>
      </c>
      <c r="H8" s="2" t="inlineStr">
        <is>
          <t>高</t>
        </is>
      </c>
      <c r="I8" s="2" t="inlineStr">
        <is>
          <t>[外部事实] 不是工厂、产线或客户数</t>
        </is>
      </c>
    </row>
    <row r="9">
      <c r="A9" s="2" t="inlineStr">
        <is>
          <t>U1</t>
        </is>
      </c>
      <c r="B9" s="2" t="inlineStr">
        <is>
          <t>可服务客户占制造法人比例</t>
        </is>
      </c>
      <c r="C9" s="2" t="n">
        <v>0.01</v>
      </c>
      <c r="D9" s="2" t="inlineStr">
        <is>
          <t>比例</t>
        </is>
      </c>
      <c r="E9" s="2" t="inlineStr">
        <is>
          <t>2026</t>
        </is>
      </c>
      <c r="F9" s="2" t="inlineStr">
        <is>
          <t>中国大陆</t>
        </is>
      </c>
      <c r="G9" s="2" t="inlineStr">
        <is>
          <t>[用户假设]</t>
        </is>
      </c>
      <c r="H9" s="2" t="inlineStr">
        <is>
          <t>低</t>
        </is>
      </c>
      <c r="I9" s="2" t="inlineStr">
        <is>
          <t>不得写成外部渗透率</t>
        </is>
      </c>
    </row>
    <row r="10">
      <c r="A10" s="2" t="inlineStr">
        <is>
          <t>U2</t>
        </is>
      </c>
      <c r="B10" s="2" t="inlineStr">
        <is>
          <t>质检软件年支出</t>
        </is>
      </c>
      <c r="C10" s="2" t="n">
        <v>120000</v>
      </c>
      <c r="D10" s="2" t="inlineStr">
        <is>
          <t>人民币元/客户/年</t>
        </is>
      </c>
      <c r="E10" s="2" t="inlineStr">
        <is>
          <t>2026</t>
        </is>
      </c>
      <c r="F10" s="2" t="inlineStr">
        <is>
          <t>中国大陆</t>
        </is>
      </c>
      <c r="G10" s="2" t="inlineStr">
        <is>
          <t>[用户假设]</t>
        </is>
      </c>
      <c r="H10" s="2" t="inlineStr">
        <is>
          <t>低</t>
        </is>
      </c>
      <c r="I10" s="2" t="inlineStr">
        <is>
          <t>不得用含硬件/定制/调试的整机价格 [S4] 替代</t>
        </is>
      </c>
    </row>
    <row r="11">
      <c r="A11" s="2" t="inlineStr">
        <is>
          <t>U3</t>
        </is>
      </c>
      <c r="B11" s="2" t="inlineStr">
        <is>
          <t>三年可获得渗透率</t>
        </is>
      </c>
      <c r="C11" s="2" t="n">
        <v>0.08</v>
      </c>
      <c r="D11" s="2" t="inlineStr">
        <is>
          <t>比例</t>
        </is>
      </c>
      <c r="E11" s="2" t="inlineStr">
        <is>
          <t>2026-2028</t>
        </is>
      </c>
      <c r="F11" s="2" t="inlineStr">
        <is>
          <t>中国大陆</t>
        </is>
      </c>
      <c r="G11" s="2" t="inlineStr">
        <is>
          <t>[用户假设]</t>
        </is>
      </c>
      <c r="H11" s="2" t="inlineStr">
        <is>
          <t>低</t>
        </is>
      </c>
      <c r="I11" s="2" t="inlineStr">
        <is>
          <t>数字化率 [S2] 不是视觉渗透率</t>
        </is>
      </c>
    </row>
    <row r="12">
      <c r="A12" s="2" t="inlineStr">
        <is>
          <t>U4</t>
        </is>
      </c>
      <c r="B12" s="2" t="inlineStr">
        <is>
          <t>工业收入中质检软件支出率</t>
        </is>
      </c>
      <c r="C12" s="2" t="n">
        <v>0.0002</v>
      </c>
      <c r="D12" s="2" t="inlineStr">
        <is>
          <t>比例</t>
        </is>
      </c>
      <c r="E12" s="2" t="inlineStr">
        <is>
          <t>2026</t>
        </is>
      </c>
      <c r="F12" s="2" t="inlineStr">
        <is>
          <t>中国大陆</t>
        </is>
      </c>
      <c r="G12" s="2" t="inlineStr">
        <is>
          <t>[用户假设]</t>
        </is>
      </c>
      <c r="H12" s="2" t="inlineStr">
        <is>
          <t>低</t>
        </is>
      </c>
      <c r="I12" s="2" t="inlineStr">
        <is>
          <t>仅用于顶部敏感性情景</t>
        </is>
      </c>
    </row>
    <row r="13">
      <c r="A13" s="2" t="inlineStr">
        <is>
          <t>U5</t>
        </is>
      </c>
      <c r="B13" s="2" t="inlineStr">
        <is>
          <t>顶部市场可服务比例</t>
        </is>
      </c>
      <c r="C13" s="2" t="n">
        <v>0.6</v>
      </c>
      <c r="D13" s="2" t="inlineStr">
        <is>
          <t>比例</t>
        </is>
      </c>
      <c r="E13" s="2" t="inlineStr">
        <is>
          <t>2026</t>
        </is>
      </c>
      <c r="F13" s="2" t="inlineStr">
        <is>
          <t>中国大陆</t>
        </is>
      </c>
      <c r="G13" s="2" t="inlineStr">
        <is>
          <t>[用户假设]</t>
        </is>
      </c>
      <c r="H13" s="2" t="inlineStr">
        <is>
          <t>低</t>
        </is>
      </c>
      <c r="I13" s="2" t="inlineStr">
        <is>
          <t>仅用于顶部敏感性情景</t>
        </is>
      </c>
    </row>
    <row r="14">
      <c r="A14" s="2" t="inlineStr">
        <is>
          <t>M1</t>
        </is>
      </c>
      <c r="B14" s="2" t="inlineStr">
        <is>
          <t>自上而下 SOM 情景</t>
        </is>
      </c>
      <c r="C14" s="2">
        <f>top_down!G4</f>
        <v/>
      </c>
      <c r="D14" s="2" t="inlineStr">
        <is>
          <t>人民币元/年</t>
        </is>
      </c>
      <c r="E14" s="2" t="inlineStr">
        <is>
          <t>2026</t>
        </is>
      </c>
      <c r="F14" s="2" t="inlineStr">
        <is>
          <t>中国大陆</t>
        </is>
      </c>
      <c r="G14" s="2" t="inlineStr">
        <is>
          <t>[S1]+[用户假设]</t>
        </is>
      </c>
      <c r="H14" s="2" t="inlineStr">
        <is>
          <t>低</t>
        </is>
      </c>
      <c r="I14" s="2" t="inlineStr">
        <is>
          <t>[模型估算] 不是市场事实</t>
        </is>
      </c>
    </row>
    <row r="15">
      <c r="A15" s="2" t="inlineStr">
        <is>
          <t>M2</t>
        </is>
      </c>
      <c r="B15" s="2" t="inlineStr">
        <is>
          <t>自下而上 SOM 情景</t>
        </is>
      </c>
      <c r="C15" s="2">
        <f>bottom_up!G4</f>
        <v/>
      </c>
      <c r="D15" s="2" t="inlineStr">
        <is>
          <t>人民币元/年</t>
        </is>
      </c>
      <c r="E15" s="2" t="inlineStr">
        <is>
          <t>2026</t>
        </is>
      </c>
      <c r="F15" s="2" t="inlineStr">
        <is>
          <t>中国大陆</t>
        </is>
      </c>
      <c r="G15" s="2" t="inlineStr">
        <is>
          <t>[S1]+[用户假设]</t>
        </is>
      </c>
      <c r="H15" s="2" t="inlineStr">
        <is>
          <t>低</t>
        </is>
      </c>
      <c r="I15" s="2" t="inlineStr">
        <is>
          <t>[模型估算] 优先作尽调基准，仍需验证</t>
        </is>
      </c>
    </row>
    <row r="16">
      <c r="A16" s="2" t="inlineStr">
        <is>
          <t>B1</t>
        </is>
      </c>
      <c r="B16" s="2" t="inlineStr">
        <is>
          <t>三组行业绝对额不可合并</t>
        </is>
      </c>
      <c r="C16" s="2" t="inlineStr">
        <is>
          <t>181.47/395.4/&gt;400</t>
        </is>
      </c>
      <c r="D16" s="2" t="inlineStr">
        <is>
          <t>人民币亿元</t>
        </is>
      </c>
      <c r="E16" s="2" t="inlineStr">
        <is>
          <t>2024-2025</t>
        </is>
      </c>
      <c r="F16" s="2" t="inlineStr">
        <is>
          <t>中国大陆</t>
        </is>
      </c>
      <c r="G16" s="2" t="inlineStr">
        <is>
          <t>[S3][S6][S7]</t>
        </is>
      </c>
      <c r="H16" s="2" t="inlineStr">
        <is>
          <t>低</t>
        </is>
      </c>
      <c r="I16" s="2" t="inlineStr">
        <is>
          <t>定义分别为剔除集成市场转引、市场转引、总产值；不平均</t>
        </is>
      </c>
    </row>
    <row r="17">
      <c r="A17" s="2" t="inlineStr">
        <is>
          <t>B2</t>
        </is>
      </c>
      <c r="B17" s="2" t="inlineStr">
        <is>
          <t>智能工厂与典型产线只作边界</t>
        </is>
      </c>
      <c r="C17" s="2" t="inlineStr">
        <is>
          <t>30000+/70道</t>
        </is>
      </c>
      <c r="D17" s="2" t="inlineStr">
        <is>
          <t>工厂/视觉系统</t>
        </is>
      </c>
      <c r="E17" s="2" t="inlineStr">
        <is>
          <t>2024-2025</t>
        </is>
      </c>
      <c r="F17" s="2" t="inlineStr">
        <is>
          <t>中国大陆</t>
        </is>
      </c>
      <c r="G17" s="2" t="inlineStr">
        <is>
          <t>[S8][S10]</t>
        </is>
      </c>
      <c r="H17" s="2" t="inlineStr">
        <is>
          <t>中</t>
        </is>
      </c>
      <c r="I17" s="2" t="inlineStr">
        <is>
          <t>领先样本和典型高端手机线，不外推全国</t>
        </is>
      </c>
    </row>
  </sheetData>
  <autoFilter ref="A1:I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17" customWidth="1" min="6" max="6"/>
    <col width="18" customWidth="1" min="7" max="7"/>
    <col width="12" customWidth="1" min="8" max="8"/>
    <col width="12" customWidth="1" min="9" max="9"/>
    <col width="12" customWidth="1" min="10" max="10"/>
    <col width="21" customWidth="1" min="11" max="11"/>
    <col width="36" customWidth="1" min="12" max="12"/>
  </cols>
  <sheetData>
    <row r="1">
      <c r="A1" s="3" t="inlineStr">
        <is>
          <t>line_id</t>
        </is>
      </c>
      <c r="B1" s="3" t="inlineStr">
        <is>
          <t>level</t>
        </is>
      </c>
      <c r="C1" s="3" t="inlineStr">
        <is>
          <t>parent_line_id</t>
        </is>
      </c>
      <c r="D1" s="3" t="inlineStr">
        <is>
          <t>market_item</t>
        </is>
      </c>
      <c r="E1" s="3" t="inlineStr">
        <is>
          <t>base_value</t>
        </is>
      </c>
      <c r="F1" s="3" t="inlineStr">
        <is>
          <t>filter_or_share</t>
        </is>
      </c>
      <c r="G1" s="3" t="inlineStr">
        <is>
          <t>calculated_value</t>
        </is>
      </c>
      <c r="H1" s="3" t="inlineStr">
        <is>
          <t>formula</t>
        </is>
      </c>
      <c r="I1" s="3" t="inlineStr">
        <is>
          <t>currency</t>
        </is>
      </c>
      <c r="J1" s="3" t="inlineStr">
        <is>
          <t>year</t>
        </is>
      </c>
      <c r="K1" s="3" t="inlineStr">
        <is>
          <t>source_id</t>
        </is>
      </c>
      <c r="L1" s="3" t="inlineStr">
        <is>
          <t>notes</t>
        </is>
      </c>
    </row>
    <row r="2">
      <c r="A2" s="2" t="inlineStr">
        <is>
          <t>T1</t>
        </is>
      </c>
      <c r="B2" s="2" t="inlineStr">
        <is>
          <t>TAM</t>
        </is>
      </c>
      <c r="C2" s="2" t="inlineStr"/>
      <c r="D2" s="2" t="inlineStr">
        <is>
          <t>工业收入支出率情景</t>
        </is>
      </c>
      <c r="E2" s="2" t="n">
        <v>152400000000000</v>
      </c>
      <c r="F2" s="2" t="n">
        <v>0.0002</v>
      </c>
      <c r="G2" s="2">
        <f>E2*F2</f>
        <v/>
      </c>
      <c r="H2" s="2">
        <f>E2*F2</f>
        <v/>
      </c>
      <c r="I2" s="2" t="inlineStr">
        <is>
          <t>CNY</t>
        </is>
      </c>
      <c r="J2" s="2" t="inlineStr">
        <is>
          <t>2026</t>
        </is>
      </c>
      <c r="K2" s="2" t="inlineStr">
        <is>
          <t>[S1]+[U4]</t>
        </is>
      </c>
      <c r="L2" s="2" t="inlineStr">
        <is>
          <t>[模型估算] 304.8 亿元；支出率为用户假设，不是已验证 TAM</t>
        </is>
      </c>
    </row>
    <row r="3">
      <c r="A3" s="2" t="inlineStr">
        <is>
          <t>T2</t>
        </is>
      </c>
      <c r="B3" s="2" t="inlineStr">
        <is>
          <t>SAM</t>
        </is>
      </c>
      <c r="C3" s="2" t="inlineStr">
        <is>
          <t>T1</t>
        </is>
      </c>
      <c r="D3" s="2" t="inlineStr">
        <is>
          <t>可服务范围情景</t>
        </is>
      </c>
      <c r="E3" s="2">
        <f>G2</f>
        <v/>
      </c>
      <c r="F3" s="2" t="n">
        <v>0.6</v>
      </c>
      <c r="G3" s="2">
        <f>E3*F3</f>
        <v/>
      </c>
      <c r="H3" s="2">
        <f>E3*F3</f>
        <v/>
      </c>
      <c r="I3" s="2" t="inlineStr">
        <is>
          <t>CNY</t>
        </is>
      </c>
      <c r="J3" s="2" t="inlineStr">
        <is>
          <t>2026</t>
        </is>
      </c>
      <c r="K3" s="2" t="inlineStr">
        <is>
          <t>[S1]+[U4]+[U5]</t>
        </is>
      </c>
      <c r="L3" s="2" t="inlineStr">
        <is>
          <t>[模型估算] 182.88 亿元</t>
        </is>
      </c>
    </row>
    <row r="4">
      <c r="A4" s="2" t="inlineStr">
        <is>
          <t>T3</t>
        </is>
      </c>
      <c r="B4" s="2" t="inlineStr">
        <is>
          <t>SOM</t>
        </is>
      </c>
      <c r="C4" s="2" t="inlineStr">
        <is>
          <t>T2</t>
        </is>
      </c>
      <c r="D4" s="2" t="inlineStr">
        <is>
          <t>三年可获得情景</t>
        </is>
      </c>
      <c r="E4" s="2">
        <f>G3</f>
        <v/>
      </c>
      <c r="F4" s="2" t="n">
        <v>0.08</v>
      </c>
      <c r="G4" s="2">
        <f>E4*F4</f>
        <v/>
      </c>
      <c r="H4" s="2">
        <f>E4*F4</f>
        <v/>
      </c>
      <c r="I4" s="2" t="inlineStr">
        <is>
          <t>CNY</t>
        </is>
      </c>
      <c r="J4" s="2" t="inlineStr">
        <is>
          <t>2026-2028</t>
        </is>
      </c>
      <c r="K4" s="2" t="inlineStr">
        <is>
          <t>[S1]+[U3]+[U4]+[U5]</t>
        </is>
      </c>
      <c r="L4" s="2" t="inlineStr">
        <is>
          <t>[模型估算] 14.6304 亿元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23" customWidth="1" min="5" max="5"/>
    <col width="18" customWidth="1" min="6" max="6"/>
    <col width="18" customWidth="1" min="7" max="7"/>
    <col width="14" customWidth="1" min="8" max="8"/>
    <col width="12" customWidth="1" min="9" max="9"/>
    <col width="12" customWidth="1" min="10" max="10"/>
    <col width="21" customWidth="1" min="11" max="11"/>
    <col width="26" customWidth="1" min="12" max="12"/>
  </cols>
  <sheetData>
    <row r="1">
      <c r="A1" s="3" t="inlineStr">
        <is>
          <t>line_id</t>
        </is>
      </c>
      <c r="B1" s="3" t="inlineStr">
        <is>
          <t>segment</t>
        </is>
      </c>
      <c r="C1" s="3" t="inlineStr">
        <is>
          <t>customer_count</t>
        </is>
      </c>
      <c r="D1" s="3" t="inlineStr">
        <is>
          <t>units_per_customer</t>
        </is>
      </c>
      <c r="E1" s="3" t="inlineStr">
        <is>
          <t>annual_price_or_spend</t>
        </is>
      </c>
      <c r="F1" s="3" t="inlineStr">
        <is>
          <t>penetration_rate</t>
        </is>
      </c>
      <c r="G1" s="3" t="inlineStr">
        <is>
          <t>calculated_value</t>
        </is>
      </c>
      <c r="H1" s="3" t="inlineStr">
        <is>
          <t>formula</t>
        </is>
      </c>
      <c r="I1" s="3" t="inlineStr">
        <is>
          <t>currency</t>
        </is>
      </c>
      <c r="J1" s="3" t="inlineStr">
        <is>
          <t>year</t>
        </is>
      </c>
      <c r="K1" s="3" t="inlineStr">
        <is>
          <t>source_id</t>
        </is>
      </c>
      <c r="L1" s="3" t="inlineStr">
        <is>
          <t>notes</t>
        </is>
      </c>
    </row>
    <row r="2">
      <c r="A2" s="2" t="inlineStr">
        <is>
          <t>B1</t>
        </is>
      </c>
      <c r="B2" s="2" t="inlineStr">
        <is>
          <t>全部制造法人上界</t>
        </is>
      </c>
      <c r="C2" s="2" t="n">
        <v>4048000</v>
      </c>
      <c r="D2" s="2" t="n">
        <v>1</v>
      </c>
      <c r="E2" s="2" t="n">
        <v>120000</v>
      </c>
      <c r="F2" s="2" t="n">
        <v>1</v>
      </c>
      <c r="G2" s="2">
        <f>C2*D2*E2*F2</f>
        <v/>
      </c>
      <c r="H2" s="2">
        <f>C2*D2*E2*F2</f>
        <v/>
      </c>
      <c r="I2" s="2" t="inlineStr">
        <is>
          <t>CNY</t>
        </is>
      </c>
      <c r="J2" s="2" t="inlineStr">
        <is>
          <t>2026</t>
        </is>
      </c>
      <c r="K2" s="2" t="inlineStr">
        <is>
          <t>[S1]+[U2]</t>
        </is>
      </c>
      <c r="L2" s="2" t="inlineStr">
        <is>
          <t>TAM 情景上界；法人不是客户，不能当事实</t>
        </is>
      </c>
    </row>
    <row r="3">
      <c r="A3" s="2" t="inlineStr">
        <is>
          <t>B2</t>
        </is>
      </c>
      <c r="B3" s="2" t="inlineStr">
        <is>
          <t>用户假设的可服务客户</t>
        </is>
      </c>
      <c r="C3" s="2">
        <f>C2*1%</f>
        <v/>
      </c>
      <c r="D3" s="2" t="n">
        <v>1</v>
      </c>
      <c r="E3" s="2" t="n">
        <v>120000</v>
      </c>
      <c r="F3" s="2" t="n">
        <v>1</v>
      </c>
      <c r="G3" s="2">
        <f>C3*D3*E3*F3</f>
        <v/>
      </c>
      <c r="H3" s="2">
        <f>C3*D3*E3*F3</f>
        <v/>
      </c>
      <c r="I3" s="2" t="inlineStr">
        <is>
          <t>CNY</t>
        </is>
      </c>
      <c r="J3" s="2" t="inlineStr">
        <is>
          <t>2026</t>
        </is>
      </c>
      <c r="K3" s="2" t="inlineStr">
        <is>
          <t>[S1]+[U1]+[U2]</t>
        </is>
      </c>
      <c r="L3" s="2" t="inlineStr">
        <is>
          <t>SAM 情景；1% 为用户假设</t>
        </is>
      </c>
    </row>
    <row r="4">
      <c r="A4" s="2" t="inlineStr">
        <is>
          <t>B3</t>
        </is>
      </c>
      <c r="B4" s="2" t="inlineStr">
        <is>
          <t>三年可获得客户</t>
        </is>
      </c>
      <c r="C4" s="2">
        <f>C3</f>
        <v/>
      </c>
      <c r="D4" s="2" t="n">
        <v>1</v>
      </c>
      <c r="E4" s="2" t="n">
        <v>120000</v>
      </c>
      <c r="F4" s="2" t="n">
        <v>0.08</v>
      </c>
      <c r="G4" s="2">
        <f>C4*D4*E4*F4</f>
        <v/>
      </c>
      <c r="H4" s="2">
        <f>C4*D4*E4*F4</f>
        <v/>
      </c>
      <c r="I4" s="2" t="inlineStr">
        <is>
          <t>CNY</t>
        </is>
      </c>
      <c r="J4" s="2" t="inlineStr">
        <is>
          <t>2026-2028</t>
        </is>
      </c>
      <c r="K4" s="2" t="inlineStr">
        <is>
          <t>[S1]+[U1]+[U2]+[U3]</t>
        </is>
      </c>
      <c r="L4" s="2" t="inlineStr">
        <is>
          <t>SOM 情景 3.88608 亿元；不是市场事实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3" customWidth="1" min="4" max="4"/>
    <col width="16" customWidth="1" min="5" max="5"/>
    <col width="48" customWidth="1" min="6" max="6"/>
    <col width="17" customWidth="1" min="7" max="7"/>
    <col width="31" customWidth="1" min="8" max="8"/>
  </cols>
  <sheetData>
    <row r="1">
      <c r="A1" s="3" t="inlineStr">
        <is>
          <t>metric</t>
        </is>
      </c>
      <c r="B1" s="3" t="inlineStr">
        <is>
          <t>top_down_value</t>
        </is>
      </c>
      <c r="C1" s="3" t="inlineStr">
        <is>
          <t>bottom_up_value</t>
        </is>
      </c>
      <c r="D1" s="3" t="inlineStr">
        <is>
          <t>difference</t>
        </is>
      </c>
      <c r="E1" s="3" t="inlineStr">
        <is>
          <t>difference_pct</t>
        </is>
      </c>
      <c r="F1" s="3" t="inlineStr">
        <is>
          <t>explanation</t>
        </is>
      </c>
      <c r="G1" s="3" t="inlineStr">
        <is>
          <t>preferred_value</t>
        </is>
      </c>
      <c r="H1" s="3" t="inlineStr">
        <is>
          <t>reason</t>
        </is>
      </c>
    </row>
    <row r="2">
      <c r="A2" s="2" t="inlineStr">
        <is>
          <t>TAM</t>
        </is>
      </c>
      <c r="B2" s="2">
        <f>top_down!G2</f>
        <v/>
      </c>
      <c r="C2" s="2">
        <f>bottom_up!G2</f>
        <v/>
      </c>
      <c r="D2" s="2">
        <f>ABS(B2-C2)</f>
        <v/>
      </c>
      <c r="E2" s="2">
        <f>D2/MAX(B2,C2)</f>
        <v/>
      </c>
      <c r="F2" s="2" t="inlineStr">
        <is>
          <t>顶部用工业收入支出率，底部用全部制造法人和软件年支出；两者均被用户假设放大，不能据差值取平均</t>
        </is>
      </c>
      <c r="G2" s="2" t="inlineStr">
        <is>
          <t>不选点估计</t>
        </is>
      </c>
      <c r="H2" s="2" t="inlineStr">
        <is>
          <t>先验证纯软件收入与客户定义</t>
        </is>
      </c>
    </row>
    <row r="3">
      <c r="A3" s="2" t="inlineStr">
        <is>
          <t>SAM</t>
        </is>
      </c>
      <c r="B3" s="2">
        <f>top_down!G3</f>
        <v/>
      </c>
      <c r="C3" s="2">
        <f>bottom_up!G3</f>
        <v/>
      </c>
      <c r="D3" s="2">
        <f>ABS(B3-C3)</f>
        <v/>
      </c>
      <c r="E3" s="2">
        <f>D3/MAX(B3,C3)</f>
        <v/>
      </c>
      <c r="F3" s="2" t="inlineStr">
        <is>
          <t>顶部服务比例与底部可服务客户比例口径不同</t>
        </is>
      </c>
      <c r="G3" s="2">
        <f>C3</f>
        <v/>
      </c>
      <c r="H3" s="2" t="inlineStr">
        <is>
          <t>底部变量更可访谈验证，但仍是低置信情景</t>
        </is>
      </c>
    </row>
    <row r="4">
      <c r="A4" s="2" t="inlineStr">
        <is>
          <t>SOM</t>
        </is>
      </c>
      <c r="B4" s="2">
        <f>top_down!G4</f>
        <v/>
      </c>
      <c r="C4" s="2">
        <f>bottom_up!G4</f>
        <v/>
      </c>
      <c r="D4" s="2">
        <f>ABS(B4-C4)</f>
        <v/>
      </c>
      <c r="E4" s="2">
        <f>D4/MAX(B4,C4)</f>
        <v/>
      </c>
      <c r="F4" s="2" t="inlineStr">
        <is>
          <t>顶部与底部相差约 73%；不平均，保留分歧</t>
        </is>
      </c>
      <c r="G4" s="2">
        <f>C4</f>
        <v/>
      </c>
      <c r="H4" s="2" t="inlineStr">
        <is>
          <t>采用更窄的 3.88608 亿元作尽调基准，不宣称市场事实</t>
        </is>
      </c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4" customWidth="1" min="4" max="4"/>
    <col width="26" customWidth="1" min="5" max="5"/>
    <col width="14" customWidth="1" min="6" max="6"/>
  </cols>
  <sheetData>
    <row r="1">
      <c r="A1" s="3" t="inlineStr">
        <is>
          <t>item_a</t>
        </is>
      </c>
      <c r="B1" s="3" t="inlineStr">
        <is>
          <t>item_b</t>
        </is>
      </c>
      <c r="C1" s="3" t="inlineStr">
        <is>
          <t>overlap_risk</t>
        </is>
      </c>
      <c r="D1" s="3" t="inlineStr">
        <is>
          <t>overlap_description</t>
        </is>
      </c>
      <c r="E1" s="3" t="inlineStr">
        <is>
          <t>resolution</t>
        </is>
      </c>
      <c r="F1" s="3" t="inlineStr">
        <is>
          <t>status</t>
        </is>
      </c>
    </row>
    <row r="2">
      <c r="A2" s="2" t="inlineStr">
        <is>
          <t>安防视频监控</t>
        </is>
      </c>
      <c r="B2" s="2" t="inlineStr">
        <is>
          <t>工业产线质检软件</t>
        </is>
      </c>
      <c r="C2" s="2" t="inlineStr">
        <is>
          <t>是</t>
        </is>
      </c>
      <c r="D2" s="2" t="inlineStr">
        <is>
          <t>视觉技术可重叠但买方预算和应用不同</t>
        </is>
      </c>
      <c r="E2" s="2" t="inlineStr">
        <is>
          <t>排除安防预算</t>
        </is>
      </c>
      <c r="F2" s="2" t="inlineStr">
        <is>
          <t>clear</t>
        </is>
      </c>
    </row>
    <row r="3">
      <c r="A3" s="2" t="inlineStr">
        <is>
          <t>硬件/光源/相机</t>
        </is>
      </c>
      <c r="B3" s="2" t="inlineStr">
        <is>
          <t>软件许可/订阅/维护</t>
        </is>
      </c>
      <c r="C3" s="2" t="inlineStr">
        <is>
          <t>是</t>
        </is>
      </c>
      <c r="D3" s="2" t="inlineStr">
        <is>
          <t>整机合同常含硬件、软件、定制、调试 [S4]</t>
        </is>
      </c>
      <c r="E3" s="2" t="inlineStr">
        <is>
          <t>本模型只保留用户给定软件年支出，不用整机平均销售价格</t>
        </is>
      </c>
      <c r="F3" s="2" t="inlineStr">
        <is>
          <t>clear</t>
        </is>
      </c>
    </row>
    <row r="4">
      <c r="A4" s="2" t="inlineStr">
        <is>
          <t>整线自动化集成</t>
        </is>
      </c>
      <c r="B4" s="2" t="inlineStr">
        <is>
          <t>工业视觉软件</t>
        </is>
      </c>
      <c r="C4" s="2" t="inlineStr">
        <is>
          <t>是</t>
        </is>
      </c>
      <c r="D4" s="2" t="inlineStr">
        <is>
          <t>181.47 亿元口径声称剔除集成，但只是年报二次转引 [S3]</t>
        </is>
      </c>
      <c r="E4" s="2" t="inlineStr">
        <is>
          <t>不把 181.47 亿元作为本模型输入</t>
        </is>
      </c>
      <c r="F4" s="2" t="inlineStr">
        <is>
          <t>clear</t>
        </is>
      </c>
    </row>
    <row r="5">
      <c r="A5" s="2" t="inlineStr">
        <is>
          <t>法人单位</t>
        </is>
      </c>
      <c r="B5" s="2" t="inlineStr">
        <is>
          <t>工厂/产线/客户</t>
        </is>
      </c>
      <c r="C5" s="2" t="inlineStr">
        <is>
          <t>是</t>
        </is>
      </c>
      <c r="D5" s="2" t="inlineStr">
        <is>
          <t>404.8 万是法人，不是装机点 [S1]</t>
        </is>
      </c>
      <c r="E5" s="2" t="inlineStr">
        <is>
          <t>以 U1 折减并保留敏感性</t>
        </is>
      </c>
      <c r="F5" s="2" t="inlineStr">
        <is>
          <t>needs_review</t>
        </is>
      </c>
    </row>
    <row r="6">
      <c r="A6" s="2" t="inlineStr">
        <is>
          <t>数字化/工业互联网/人工智能使用</t>
        </is>
      </c>
      <c r="B6" s="2" t="inlineStr">
        <is>
          <t>机器视觉渗透率</t>
        </is>
      </c>
      <c r="C6" s="2" t="inlineStr">
        <is>
          <t>是</t>
        </is>
      </c>
      <c r="D6" s="2" t="inlineStr">
        <is>
          <t>统计口径不是机器视觉 [S2]</t>
        </is>
      </c>
      <c r="E6" s="2" t="inlineStr">
        <is>
          <t>不使用该比例；渗透率只保留 U3 用户假设</t>
        </is>
      </c>
      <c r="F6" s="2" t="inlineStr">
        <is>
          <t>clear</t>
        </is>
      </c>
    </row>
    <row r="7">
      <c r="A7" s="2" t="inlineStr">
        <is>
          <t>智能工厂样本/高端手机典型线</t>
        </is>
      </c>
      <c r="B7" s="2" t="inlineStr">
        <is>
          <t>全国制造业</t>
        </is>
      </c>
      <c r="C7" s="2" t="inlineStr">
        <is>
          <t>是</t>
        </is>
      </c>
      <c r="D7" s="2" t="inlineStr">
        <is>
          <t>领先样本 [S8] 与典型场景 [S10] 不能外推</t>
        </is>
      </c>
      <c r="E7" s="2" t="inlineStr">
        <is>
          <t>只作访谈分层，不进入点估计</t>
        </is>
      </c>
      <c r="F7" s="2" t="inlineStr">
        <is>
          <t>clear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48" customWidth="1" min="4" max="4"/>
    <col width="12" customWidth="1" min="5" max="5"/>
    <col width="30" customWidth="1" min="6" max="6"/>
    <col width="13" customWidth="1" min="7" max="7"/>
  </cols>
  <sheetData>
    <row r="1">
      <c r="A1" s="3" t="inlineStr">
        <is>
          <t>source_id</t>
        </is>
      </c>
      <c r="B1" s="3" t="inlineStr">
        <is>
          <t>source_name</t>
        </is>
      </c>
      <c r="C1" s="3" t="inlineStr">
        <is>
          <t>source_type</t>
        </is>
      </c>
      <c r="D1" s="3" t="inlineStr">
        <is>
          <t>url_or_location</t>
        </is>
      </c>
      <c r="E1" s="3" t="inlineStr">
        <is>
          <t>date</t>
        </is>
      </c>
      <c r="F1" s="3" t="inlineStr">
        <is>
          <t>fields_supported</t>
        </is>
      </c>
      <c r="G1" s="3" t="inlineStr">
        <is>
          <t>reliability</t>
        </is>
      </c>
    </row>
    <row r="2">
      <c r="A2" s="2" t="inlineStr">
        <is>
          <t>[S1]</t>
        </is>
      </c>
      <c r="B2" s="2" t="inlineStr">
        <is>
          <t>国家统计局第五次全国经济普查工业结果</t>
        </is>
      </c>
      <c r="C2" s="2" t="inlineStr">
        <is>
          <t>政府</t>
        </is>
      </c>
      <c r="D2" s="2" t="inlineStr">
        <is>
          <t>https://www.stats.gov.cn/xxgk/jd/sjjd2020/202502/t20250227_1958812.html</t>
        </is>
      </c>
      <c r="E2" s="2" t="inlineStr">
        <is>
          <t>2025-02-27</t>
        </is>
      </c>
      <c r="F2" s="2" t="inlineStr">
        <is>
          <t>工业收入、制造法人单位</t>
        </is>
      </c>
      <c r="G2" s="2" t="inlineStr">
        <is>
          <t>高</t>
        </is>
      </c>
    </row>
    <row r="3">
      <c r="A3" s="2" t="inlineStr">
        <is>
          <t>[S2]</t>
        </is>
      </c>
      <c r="B3" s="2" t="inlineStr">
        <is>
          <t>国家统计局企业数字化转型</t>
        </is>
      </c>
      <c r="C3" s="2" t="inlineStr">
        <is>
          <t>政府</t>
        </is>
      </c>
      <c r="D3" s="2" t="inlineStr">
        <is>
          <t>https://www.stats.gov.cn/xxgk/jd/sjjd2020/202502/t20250227_1958814.html</t>
        </is>
      </c>
      <c r="E3" s="2" t="inlineStr">
        <is>
          <t>2025-02-28</t>
        </is>
      </c>
      <c r="F3" s="2" t="inlineStr">
        <is>
          <t>数字化率反向边界</t>
        </is>
      </c>
      <c r="G3" s="2" t="inlineStr">
        <is>
          <t>高</t>
        </is>
      </c>
    </row>
    <row r="4">
      <c r="A4" s="2" t="inlineStr">
        <is>
          <t>[S3]</t>
        </is>
      </c>
      <c r="B4" s="2" t="inlineStr">
        <is>
          <t>奥普特 2025 年年度报告</t>
        </is>
      </c>
      <c r="C4" s="2" t="inlineStr">
        <is>
          <t>公司年报</t>
        </is>
      </c>
      <c r="D4" s="2" t="inlineStr">
        <is>
          <t>https://www.optmv.com/Upload/File/202604/b1017ba56d8544ec91339d3714aed6e2.pdf</t>
        </is>
      </c>
      <c r="E4" s="2" t="inlineStr">
        <is>
          <t>2026-04-03</t>
        </is>
      </c>
      <c r="F4" s="2" t="inlineStr">
        <is>
          <t>公司收入、181.47 亿元二次转引</t>
        </is>
      </c>
      <c r="G4" s="2" t="inlineStr">
        <is>
          <t>中高</t>
        </is>
      </c>
    </row>
    <row r="5">
      <c r="A5" s="2" t="inlineStr">
        <is>
          <t>[S4]</t>
        </is>
      </c>
      <c r="B5" s="2" t="inlineStr">
        <is>
          <t>双元科技第二轮问询回复</t>
        </is>
      </c>
      <c r="C5" s="2" t="inlineStr">
        <is>
          <t>监管披露</t>
        </is>
      </c>
      <c r="D5" s="2" t="inlineStr">
        <is>
          <t>https://static.sse.com.cn/stock/disclosure/announcement/c/202303/001185_20230331_MG77.pdf</t>
        </is>
      </c>
      <c r="E5" s="2" t="inlineStr">
        <is>
          <t>2023-03-31</t>
        </is>
      </c>
      <c r="F5" s="2" t="inlineStr">
        <is>
          <t>整机系统价、验收滞后</t>
        </is>
      </c>
      <c r="G5" s="2" t="inlineStr">
        <is>
          <t>高</t>
        </is>
      </c>
    </row>
    <row r="6">
      <c r="A6" s="2" t="inlineStr">
        <is>
          <t>[S5]</t>
        </is>
      </c>
      <c r="B6" s="2" t="inlineStr">
        <is>
          <t>中国机器视觉产业联盟报告发布页</t>
        </is>
      </c>
      <c r="C6" s="2" t="inlineStr">
        <is>
          <t>行业协会</t>
        </is>
      </c>
      <c r="D6" s="2" t="inlineStr">
        <is>
          <t>https://www.china-vision.org/user/bilin.html</t>
        </is>
      </c>
      <c r="E6" s="2" t="inlineStr">
        <is>
          <t>2025-06-19</t>
        </is>
      </c>
      <c r="F6" s="2" t="inlineStr">
        <is>
          <t>2024 销售额增速；绝对额/样本缺失</t>
        </is>
      </c>
      <c r="G6" s="2" t="inlineStr">
        <is>
          <t>中</t>
        </is>
      </c>
    </row>
    <row r="7">
      <c r="A7" s="2" t="inlineStr">
        <is>
          <t>[S6]</t>
        </is>
      </c>
      <c r="B7" s="2" t="inlineStr">
        <is>
          <t>凌云光 2025 VisionChina 活动稿</t>
        </is>
      </c>
      <c r="C7" s="2" t="inlineStr">
        <is>
          <t>公司材料</t>
        </is>
      </c>
      <c r="D7" s="2" t="inlineStr">
        <is>
          <t>https://www.lusterinc.com/%E6%99%BA%E9%80%A0%E6%96%B0%E8%A7%86%E7%95%8C%EF%BC%81%E5%87%8C%E4%BA%91%E5%85%89%E4%BA%AE%E7%9B%B82025-visionchina%E5%8C%97%E4%BA%AC%E5%B1%95/</t>
        </is>
      </c>
      <c r="E7" s="2" t="inlineStr">
        <is>
          <t>2025-06-19</t>
        </is>
      </c>
      <c r="F7" s="2" t="inlineStr">
        <is>
          <t>395.4 亿元二次转引</t>
        </is>
      </c>
      <c r="G7" s="2" t="inlineStr">
        <is>
          <t>低</t>
        </is>
      </c>
    </row>
    <row r="8">
      <c r="A8" s="2" t="inlineStr">
        <is>
          <t>[S7]</t>
        </is>
      </c>
      <c r="B8" s="2" t="inlineStr">
        <is>
          <t>凌云光 2026 VisionChina 活动稿</t>
        </is>
      </c>
      <c r="C8" s="2" t="inlineStr">
        <is>
          <t>公司材料</t>
        </is>
      </c>
      <c r="D8" s="2" t="inlineStr">
        <is>
          <t>https://www.lusterinc.com/%E4%BB%8E%E5%A4%A7%E5%92%96%E8%A7%82%E7%82%B9%E5%88%B0%E7%A1%AC%E6%A0%B8%E5%B1%95%E5%93%81%EF%BC%8C%E5%87%8C%E4%BA%91%E5%85%89-x-jai%E7%9A%84visionchina%E4%B9%8B%E6%97%85/</t>
        </is>
      </c>
      <c r="E8" s="2" t="inlineStr">
        <is>
          <t>2026-06-26</t>
        </is>
      </c>
      <c r="F8" s="2" t="inlineStr">
        <is>
          <t>&gt;400 亿元总产值</t>
        </is>
      </c>
      <c r="G8" s="2" t="inlineStr">
        <is>
          <t>低</t>
        </is>
      </c>
    </row>
    <row r="9">
      <c r="A9" s="2" t="inlineStr">
        <is>
          <t>[S8]</t>
        </is>
      </c>
      <c r="B9" s="2" t="inlineStr">
        <is>
          <t>工业和信息化部智能工厂进展</t>
        </is>
      </c>
      <c r="C9" s="2" t="inlineStr">
        <is>
          <t>政府</t>
        </is>
      </c>
      <c r="D9" s="2" t="inlineStr">
        <is>
          <t>https://wap.miit.gov.cn/xwfb/gxdt/sjdt/art/2025/art_70c95052e16e44eb9bb49eae85f71e70.html</t>
        </is>
      </c>
      <c r="E9" s="2" t="inlineStr">
        <is>
          <t>2025-02-07</t>
        </is>
      </c>
      <c r="F9" s="2" t="inlineStr">
        <is>
          <t>智能工厂分级样本</t>
        </is>
      </c>
      <c r="G9" s="2" t="inlineStr">
        <is>
          <t>高</t>
        </is>
      </c>
    </row>
    <row r="10">
      <c r="A10" s="2" t="inlineStr">
        <is>
          <t>[S10]</t>
        </is>
      </c>
      <c r="B10" s="2" t="inlineStr">
        <is>
          <t>智能检测装备产业发展研究报告——机器视觉篇</t>
        </is>
      </c>
      <c r="C10" s="2" t="inlineStr">
        <is>
          <t>技术白皮书</t>
        </is>
      </c>
      <c r="D10" s="2" t="inlineStr">
        <is>
          <t>https://www.cesi.cn/images/editor/20240621/20240621150737979.pdf</t>
        </is>
      </c>
      <c r="E10" s="2" t="inlineStr">
        <is>
          <t>2024-07-18</t>
        </is>
      </c>
      <c r="F10" s="2" t="inlineStr">
        <is>
          <t>高端手机典型线、数据孤岛</t>
        </is>
      </c>
      <c r="G10" s="2" t="inlineStr">
        <is>
          <t>中高</t>
        </is>
      </c>
    </row>
    <row r="11">
      <c r="A11" s="2" t="inlineStr">
        <is>
          <t>STATE</t>
        </is>
      </c>
      <c r="B11" s="2" t="inlineStr">
        <is>
          <t>研究状态：ready</t>
        </is>
      </c>
      <c r="C11" s="2" t="inlineStr">
        <is>
          <t>状态</t>
        </is>
      </c>
      <c r="D11" s="2" t="inlineStr">
        <is>
          <t>本工作簿</t>
        </is>
      </c>
      <c r="E11" s="2" t="inlineStr">
        <is>
          <t>2026-07-29</t>
        </is>
      </c>
      <c r="F11" s="2" t="inlineStr">
        <is>
          <t>外部事实/用户假设/模型估算分离；结论为情景而非市场事实</t>
        </is>
      </c>
      <c r="G11" s="2" t="inlineStr">
        <is>
          <t>高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2026-07-29T16:04:51Z</dcterms:created>
  <dcterms:modified xmlns:dcterms="http://purl.org/dc/terms/" xmlns:xsi="http://www.w3.org/2001/XMLSchema-instance" xsi:type="dcterms:W3CDTF">2026-07-29T16:07:38Z</dcterms:modified>
</cp:coreProperties>
</file>