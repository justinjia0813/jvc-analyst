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top_down" sheetId="2" state="visible" r:id="rId4"/>
    <sheet name="bottom_up" sheetId="3" state="visible" r:id="rId5"/>
    <sheet name="reconciliation" sheetId="4" state="visible" r:id="rId6"/>
    <sheet name="orthogonality_check" sheetId="5" state="visible" r:id="rId7"/>
    <sheet name="sources" sheetId="6" state="visible" r:id="rId8"/>
  </sheets>
  <definedNames>
    <definedName function="false" hidden="true" localSheetId="0" name="_xlnm._FilterDatabase" vbProcedure="false">assumptions!$A$1:$I$7</definedName>
    <definedName function="false" hidden="true" localSheetId="2" name="_xlnm._FilterDatabase" vbProcedure="false">bottom_up!$A$1:$L$2</definedName>
    <definedName function="false" hidden="true" localSheetId="4" name="_xlnm._FilterDatabase" vbProcedure="false">orthogonality_check!$A$1:$F$2</definedName>
    <definedName function="false" hidden="true" localSheetId="3" name="_xlnm._FilterDatabase" vbProcedure="false">reconciliation!$A$1:$H$2</definedName>
    <definedName function="false" hidden="true" localSheetId="5" name="_xlnm._FilterDatabase" vbProcedure="false">sources!$A$1:$G$2</definedName>
    <definedName function="false" hidden="true" localSheetId="1" name="_xlnm._FilterDatabase" vbProcedure="false">top_down!$A$1:$L$2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<sst xmlns="http://schemas.openxmlformats.org/spreadsheetml/2006/main" count="124" uniqueCount="86">
  <si>
    <t xml:space="preserve">assumption_id</t>
  </si>
  <si>
    <t xml:space="preserve">variable</t>
  </si>
  <si>
    <t xml:space="preserve">value</t>
  </si>
  <si>
    <t xml:space="preserve">unit</t>
  </si>
  <si>
    <t xml:space="preserve">year</t>
  </si>
  <si>
    <t xml:space="preserve">geography</t>
  </si>
  <si>
    <t xml:space="preserve">source_id</t>
  </si>
  <si>
    <t xml:space="preserve">confidence</t>
  </si>
  <si>
    <t xml:space="preserve">notes</t>
  </si>
  <si>
    <t xml:space="preserve">A1</t>
  </si>
  <si>
    <t xml:space="preserve">上位市场</t>
  </si>
  <si>
    <r>
      <rPr>
        <sz val="11"/>
        <color theme="1"/>
        <rFont val="Linux Libertine G"/>
        <family val="2"/>
      </rPr>
      <t xml:space="preserve">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年</t>
    </r>
  </si>
  <si>
    <t xml:space="preserve">虚构区域</t>
  </si>
  <si>
    <t xml:space="preserve">S1</t>
  </si>
  <si>
    <t xml:space="preserve">假设</t>
  </si>
  <si>
    <t xml:space="preserve">虚构示例</t>
  </si>
  <si>
    <t xml:space="preserve">A2</t>
  </si>
  <si>
    <t xml:space="preserve">筛选占比</t>
  </si>
  <si>
    <t xml:space="preserve">比例</t>
  </si>
  <si>
    <t xml:space="preserve">A3</t>
  </si>
  <si>
    <t xml:space="preserve">客户数</t>
  </si>
  <si>
    <t xml:space="preserve">家</t>
  </si>
  <si>
    <t xml:space="preserve">A4</t>
  </si>
  <si>
    <t xml:space="preserve">点位数</t>
  </si>
  <si>
    <r>
      <rPr>
        <sz val="11"/>
        <color theme="1"/>
        <rFont val="Linux Libertine G"/>
        <family val="2"/>
      </rPr>
      <t xml:space="preserve">个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家</t>
    </r>
  </si>
  <si>
    <t xml:space="preserve">A5</t>
  </si>
  <si>
    <t xml:space="preserve">年价</t>
  </si>
  <si>
    <r>
      <rPr>
        <sz val="11"/>
        <color theme="1"/>
        <rFont val="Linux Libertine G"/>
        <family val="2"/>
      </rPr>
      <t xml:space="preserve">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点位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年</t>
    </r>
  </si>
  <si>
    <t xml:space="preserve">A6</t>
  </si>
  <si>
    <t xml:space="preserve">渗透率</t>
  </si>
  <si>
    <t xml:space="preserve">line_id</t>
  </si>
  <si>
    <t xml:space="preserve">level</t>
  </si>
  <si>
    <t xml:space="preserve">parent_line_id</t>
  </si>
  <si>
    <t xml:space="preserve">market_item</t>
  </si>
  <si>
    <t xml:space="preserve">base_value</t>
  </si>
  <si>
    <t xml:space="preserve">filter_or_share</t>
  </si>
  <si>
    <t xml:space="preserve">calculated_value</t>
  </si>
  <si>
    <t xml:space="preserve">formula</t>
  </si>
  <si>
    <t xml:space="preserve">currency</t>
  </si>
  <si>
    <t xml:space="preserve">T1</t>
  </si>
  <si>
    <t xml:space="preserve">SAM</t>
  </si>
  <si>
    <t xml:space="preserve">虚构市场</t>
  </si>
  <si>
    <t xml:space="preserve">基础市场乘筛选占比</t>
  </si>
  <si>
    <t xml:space="preserve">CNY</t>
  </si>
  <si>
    <t xml:space="preserve">segment</t>
  </si>
  <si>
    <t xml:space="preserve">customer_count</t>
  </si>
  <si>
    <t xml:space="preserve">units_per_customer</t>
  </si>
  <si>
    <t xml:space="preserve">annual_price_or_spend</t>
  </si>
  <si>
    <t xml:space="preserve">penetration_rate</t>
  </si>
  <si>
    <t xml:space="preserve">B1</t>
  </si>
  <si>
    <t xml:space="preserve">客户组甲</t>
  </si>
  <si>
    <t xml:space="preserve">客户乘点位乘年价乘渗透率</t>
  </si>
  <si>
    <t xml:space="preserve">metric</t>
  </si>
  <si>
    <t xml:space="preserve">top_down_value</t>
  </si>
  <si>
    <t xml:space="preserve">bottom_up_value</t>
  </si>
  <si>
    <t xml:space="preserve">difference</t>
  </si>
  <si>
    <t xml:space="preserve">difference_pct</t>
  </si>
  <si>
    <t xml:space="preserve">explanation</t>
  </si>
  <si>
    <t xml:space="preserve">preferred_value</t>
  </si>
  <si>
    <t xml:space="preserve">reason</t>
  </si>
  <si>
    <t xml:space="preserve">2026 SAM</t>
  </si>
  <si>
    <t xml:space="preserve">口径不确定，区间保留</t>
  </si>
  <si>
    <t xml:space="preserve">保守情景</t>
  </si>
  <si>
    <t xml:space="preserve">item_a</t>
  </si>
  <si>
    <t xml:space="preserve">item_b</t>
  </si>
  <si>
    <t xml:space="preserve">overlap_risk</t>
  </si>
  <si>
    <t xml:space="preserve">overlap_description</t>
  </si>
  <si>
    <t xml:space="preserve">resolution</t>
  </si>
  <si>
    <t xml:space="preserve">status</t>
  </si>
  <si>
    <t xml:space="preserve">无第二分组</t>
  </si>
  <si>
    <t xml:space="preserve">无</t>
  </si>
  <si>
    <t xml:space="preserve">仅一个分组</t>
  </si>
  <si>
    <t xml:space="preserve">唯一归属</t>
  </si>
  <si>
    <t xml:space="preserve">clear</t>
  </si>
  <si>
    <t xml:space="preserve">source_name</t>
  </si>
  <si>
    <t xml:space="preserve">source_type</t>
  </si>
  <si>
    <t xml:space="preserve">url_or_location</t>
  </si>
  <si>
    <t xml:space="preserve">date</t>
  </si>
  <si>
    <t xml:space="preserve">fields_supported</t>
  </si>
  <si>
    <t xml:space="preserve">reliability</t>
  </si>
  <si>
    <t xml:space="preserve">虚构回归情景</t>
  </si>
  <si>
    <t xml:space="preserve">用户假设</t>
  </si>
  <si>
    <t xml:space="preserve">examples/README.md</t>
  </si>
  <si>
    <t xml:space="preserve">2026-10-18</t>
  </si>
  <si>
    <t xml:space="preserve">全部假设；单位：万元，市场模型除外</t>
  </si>
  <si>
    <t xml:space="preserve">假设计算，不代表事实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</si>
</sst>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6">
    <font>
      <sz val="11"/>
      <color theme="1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EA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EA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.4453125" defaultRowHeight="15" customHeight="false" zeroHeight="false" outlineLevelRow="0" outlineLevelCol="0"/>
  <cols>
    <col collapsed="false" customWidth="true" hidden="false" outlineLevel="0" max="1" min="1" style="0" width="16.32"/>
    <col collapsed="false" customWidth="true" hidden="false" outlineLevel="0" max="9" min="2" style="0" width="13.0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0" t="s">
        <v>10</v>
      </c>
      <c r="C2" s="0" t="n">
        <v>1000000</v>
      </c>
      <c r="D2" s="0" t="s">
        <v>11</v>
      </c>
      <c r="E2" s="0" t="n">
        <v>2026</v>
      </c>
      <c r="F2" s="0" t="s">
        <v>12</v>
      </c>
      <c r="G2" s="2" t="s">
        <v>13</v>
      </c>
      <c r="H2" s="0" t="s">
        <v>14</v>
      </c>
      <c r="I2" s="0" t="s">
        <v>15</v>
      </c>
    </row>
    <row r="3" customFormat="false" ht="15" hidden="false" customHeight="false" outlineLevel="0" collapsed="false">
      <c r="A3" s="2" t="s">
        <v>16</v>
      </c>
      <c r="B3" s="0" t="s">
        <v>17</v>
      </c>
      <c r="C3" s="3" t="n">
        <v>0.25</v>
      </c>
      <c r="D3" s="0" t="s">
        <v>18</v>
      </c>
      <c r="E3" s="0" t="n">
        <v>2026</v>
      </c>
      <c r="F3" s="0" t="s">
        <v>12</v>
      </c>
      <c r="G3" s="2" t="s">
        <v>13</v>
      </c>
      <c r="H3" s="0" t="s">
        <v>14</v>
      </c>
      <c r="I3" s="0" t="s">
        <v>15</v>
      </c>
    </row>
    <row r="4" customFormat="false" ht="15" hidden="false" customHeight="false" outlineLevel="0" collapsed="false">
      <c r="A4" s="2" t="s">
        <v>19</v>
      </c>
      <c r="B4" s="0" t="s">
        <v>20</v>
      </c>
      <c r="C4" s="0" t="n">
        <v>100</v>
      </c>
      <c r="D4" s="0" t="s">
        <v>21</v>
      </c>
      <c r="E4" s="0" t="n">
        <v>2026</v>
      </c>
      <c r="F4" s="0" t="s">
        <v>12</v>
      </c>
      <c r="G4" s="2" t="s">
        <v>13</v>
      </c>
      <c r="H4" s="0" t="s">
        <v>14</v>
      </c>
      <c r="I4" s="0" t="s">
        <v>15</v>
      </c>
    </row>
    <row r="5" customFormat="false" ht="15" hidden="false" customHeight="false" outlineLevel="0" collapsed="false">
      <c r="A5" s="2" t="s">
        <v>22</v>
      </c>
      <c r="B5" s="0" t="s">
        <v>23</v>
      </c>
      <c r="C5" s="0" t="n">
        <v>2</v>
      </c>
      <c r="D5" s="0" t="s">
        <v>24</v>
      </c>
      <c r="E5" s="0" t="n">
        <v>2026</v>
      </c>
      <c r="F5" s="0" t="s">
        <v>12</v>
      </c>
      <c r="G5" s="2" t="s">
        <v>13</v>
      </c>
      <c r="H5" s="0" t="s">
        <v>14</v>
      </c>
      <c r="I5" s="0" t="s">
        <v>15</v>
      </c>
    </row>
    <row r="6" customFormat="false" ht="15" hidden="false" customHeight="false" outlineLevel="0" collapsed="false">
      <c r="A6" s="2" t="s">
        <v>25</v>
      </c>
      <c r="B6" s="0" t="s">
        <v>26</v>
      </c>
      <c r="C6" s="0" t="n">
        <v>1000</v>
      </c>
      <c r="D6" s="0" t="s">
        <v>27</v>
      </c>
      <c r="E6" s="0" t="n">
        <v>2026</v>
      </c>
      <c r="F6" s="0" t="s">
        <v>12</v>
      </c>
      <c r="G6" s="2" t="s">
        <v>13</v>
      </c>
      <c r="H6" s="0" t="s">
        <v>14</v>
      </c>
      <c r="I6" s="0" t="s">
        <v>15</v>
      </c>
    </row>
    <row r="7" customFormat="false" ht="15" hidden="false" customHeight="false" outlineLevel="0" collapsed="false">
      <c r="A7" s="2" t="s">
        <v>28</v>
      </c>
      <c r="B7" s="0" t="s">
        <v>29</v>
      </c>
      <c r="C7" s="3" t="n">
        <v>0.8</v>
      </c>
      <c r="D7" s="0" t="s">
        <v>18</v>
      </c>
      <c r="E7" s="0" t="n">
        <v>2026</v>
      </c>
      <c r="F7" s="0" t="s">
        <v>12</v>
      </c>
      <c r="G7" s="2" t="s">
        <v>13</v>
      </c>
      <c r="H7" s="0" t="s">
        <v>14</v>
      </c>
      <c r="I7" s="0" t="s">
        <v>15</v>
      </c>
    </row>
  </sheetData>
  <autoFilter ref="A1:I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.4453125" defaultRowHeight="15" customHeight="false" zeroHeight="false" outlineLevelRow="0" outlineLevelCol="0"/>
  <cols>
    <col collapsed="false" customWidth="true" hidden="false" outlineLevel="0" max="2" min="1" style="0" width="13.06"/>
    <col collapsed="false" customWidth="true" hidden="false" outlineLevel="0" max="3" min="3" style="0" width="17.41"/>
    <col collapsed="false" customWidth="true" hidden="false" outlineLevel="0" max="4" min="4" style="0" width="14.15"/>
    <col collapsed="false" customWidth="true" hidden="false" outlineLevel="0" max="5" min="5" style="0" width="13.06"/>
    <col collapsed="false" customWidth="true" hidden="false" outlineLevel="0" max="6" min="6" style="0" width="18.5"/>
    <col collapsed="false" customWidth="true" hidden="false" outlineLevel="0" max="7" min="7" style="0" width="19.59"/>
    <col collapsed="false" customWidth="true" hidden="false" outlineLevel="0" max="12" min="8" style="0" width="13.06"/>
  </cols>
  <sheetData>
    <row r="1" customFormat="false" ht="15" hidden="false" customHeight="false" outlineLevel="0" collapsed="false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4</v>
      </c>
      <c r="K1" s="1" t="s">
        <v>6</v>
      </c>
      <c r="L1" s="1" t="s">
        <v>8</v>
      </c>
    </row>
    <row r="2" customFormat="false" ht="15" hidden="false" customHeight="false" outlineLevel="0" collapsed="false">
      <c r="A2" s="2" t="s">
        <v>39</v>
      </c>
      <c r="B2" s="2" t="s">
        <v>40</v>
      </c>
      <c r="C2" s="2" t="s">
        <v>9</v>
      </c>
      <c r="D2" s="0" t="s">
        <v>41</v>
      </c>
      <c r="E2" s="3" t="n">
        <f aca="false">assumptions!C2</f>
        <v>1000000</v>
      </c>
      <c r="F2" s="3" t="n">
        <f aca="false">assumptions!C3</f>
        <v>0.25</v>
      </c>
      <c r="G2" s="3" t="n">
        <f aca="false">E2*F2</f>
        <v>250000</v>
      </c>
      <c r="H2" s="0" t="s">
        <v>42</v>
      </c>
      <c r="I2" s="2" t="s">
        <v>43</v>
      </c>
      <c r="J2" s="0" t="n">
        <v>2026</v>
      </c>
      <c r="K2" s="2" t="s">
        <v>13</v>
      </c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.4453125" defaultRowHeight="15" customHeight="false" zeroHeight="false" outlineLevelRow="0" outlineLevelCol="0"/>
  <cols>
    <col collapsed="false" customWidth="true" hidden="false" outlineLevel="0" max="2" min="1" style="0" width="13.06"/>
    <col collapsed="false" customWidth="true" hidden="false" outlineLevel="0" max="3" min="3" style="0" width="17.41"/>
    <col collapsed="false" customWidth="true" hidden="false" outlineLevel="0" max="4" min="4" style="0" width="21.77"/>
    <col collapsed="false" customWidth="true" hidden="false" outlineLevel="0" max="5" min="5" style="0" width="25.03"/>
    <col collapsed="false" customWidth="true" hidden="false" outlineLevel="0" max="7" min="6" style="0" width="19.59"/>
    <col collapsed="false" customWidth="true" hidden="false" outlineLevel="0" max="12" min="8" style="0" width="13.06"/>
  </cols>
  <sheetData>
    <row r="1" customFormat="false" ht="15" hidden="false" customHeight="false" outlineLevel="0" collapsed="false">
      <c r="A1" s="1" t="s">
        <v>30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36</v>
      </c>
      <c r="H1" s="1" t="s">
        <v>37</v>
      </c>
      <c r="I1" s="1" t="s">
        <v>38</v>
      </c>
      <c r="J1" s="1" t="s">
        <v>4</v>
      </c>
      <c r="K1" s="1" t="s">
        <v>6</v>
      </c>
      <c r="L1" s="1" t="s">
        <v>8</v>
      </c>
    </row>
    <row r="2" customFormat="false" ht="15" hidden="false" customHeight="false" outlineLevel="0" collapsed="false">
      <c r="A2" s="2" t="s">
        <v>49</v>
      </c>
      <c r="B2" s="0" t="s">
        <v>50</v>
      </c>
      <c r="C2" s="3" t="n">
        <f aca="false">assumptions!C4</f>
        <v>100</v>
      </c>
      <c r="D2" s="3" t="n">
        <f aca="false">assumptions!C5</f>
        <v>2</v>
      </c>
      <c r="E2" s="3" t="n">
        <f aca="false">assumptions!C6</f>
        <v>1000</v>
      </c>
      <c r="F2" s="3" t="n">
        <f aca="false">assumptions!C7</f>
        <v>0.8</v>
      </c>
      <c r="G2" s="3" t="n">
        <f aca="false">C2*D2*E2*F2</f>
        <v>160000</v>
      </c>
      <c r="H2" s="0" t="s">
        <v>51</v>
      </c>
      <c r="I2" s="2" t="s">
        <v>43</v>
      </c>
      <c r="J2" s="0" t="n">
        <v>2026</v>
      </c>
      <c r="K2" s="2" t="s">
        <v>13</v>
      </c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.4453125" defaultRowHeight="15" customHeight="false" zeroHeight="false" outlineLevelRow="0" outlineLevelCol="0"/>
  <cols>
    <col collapsed="false" customWidth="true" hidden="false" outlineLevel="0" max="1" min="1" style="0" width="13.06"/>
    <col collapsed="false" customWidth="true" hidden="false" outlineLevel="0" max="2" min="2" style="0" width="17.41"/>
    <col collapsed="false" customWidth="true" hidden="false" outlineLevel="0" max="3" min="3" style="0" width="18.5"/>
    <col collapsed="false" customWidth="true" hidden="false" outlineLevel="0" max="4" min="4" style="0" width="13.06"/>
    <col collapsed="false" customWidth="true" hidden="false" outlineLevel="0" max="5" min="5" style="0" width="17.41"/>
    <col collapsed="false" customWidth="true" hidden="false" outlineLevel="0" max="6" min="6" style="0" width="14.15"/>
    <col collapsed="false" customWidth="true" hidden="false" outlineLevel="0" max="7" min="7" style="0" width="18.5"/>
    <col collapsed="false" customWidth="true" hidden="false" outlineLevel="0" max="8" min="8" style="0" width="13.06"/>
  </cols>
  <sheetData>
    <row r="1" customFormat="false" ht="15" hidden="false" customHeight="false" outlineLevel="0" collapsed="false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</row>
    <row r="2" customFormat="false" ht="15" hidden="false" customHeight="false" outlineLevel="0" collapsed="false">
      <c r="A2" s="2" t="s">
        <v>60</v>
      </c>
      <c r="B2" s="3" t="n">
        <f aca="false">top_down!G2</f>
        <v>250000</v>
      </c>
      <c r="C2" s="3" t="n">
        <f aca="false">bottom_up!G2</f>
        <v>160000</v>
      </c>
      <c r="D2" s="3" t="n">
        <f aca="false">B2-C2</f>
        <v>90000</v>
      </c>
      <c r="E2" s="3" t="n">
        <f aca="false">D2/B2</f>
        <v>0.36</v>
      </c>
      <c r="F2" s="0" t="s">
        <v>61</v>
      </c>
      <c r="G2" s="3" t="n">
        <f aca="false">MIN(B2,C2)</f>
        <v>160000</v>
      </c>
      <c r="H2" s="0" t="s">
        <v>62</v>
      </c>
    </row>
  </sheetData>
  <autoFilter ref="A1:H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.4453125" defaultRowHeight="15" customHeight="false" zeroHeight="false" outlineLevelRow="0" outlineLevelCol="0"/>
  <cols>
    <col collapsed="false" customWidth="true" hidden="false" outlineLevel="0" max="2" min="1" style="0" width="13.06"/>
    <col collapsed="false" customWidth="true" hidden="false" outlineLevel="0" max="3" min="3" style="0" width="15.23"/>
    <col collapsed="false" customWidth="true" hidden="false" outlineLevel="0" max="4" min="4" style="0" width="22.86"/>
    <col collapsed="false" customWidth="true" hidden="false" outlineLevel="0" max="6" min="5" style="0" width="13.06"/>
  </cols>
  <sheetData>
    <row r="1" customFormat="false" ht="15" hidden="false" customHeight="false" outlineLevel="0" collapsed="false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</row>
    <row r="2" customFormat="false" ht="15" hidden="false" customHeight="false" outlineLevel="0" collapsed="false">
      <c r="A2" s="0" t="s">
        <v>50</v>
      </c>
      <c r="B2" s="0" t="s">
        <v>69</v>
      </c>
      <c r="C2" s="0" t="s">
        <v>70</v>
      </c>
      <c r="D2" s="0" t="s">
        <v>71</v>
      </c>
      <c r="E2" s="0" t="s">
        <v>72</v>
      </c>
      <c r="F2" s="2" t="s">
        <v>73</v>
      </c>
    </row>
  </sheetData>
  <autoFilter ref="A1:F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.4453125" defaultRowHeight="15" customHeight="false" zeroHeight="false" outlineLevelRow="0" outlineLevelCol="0"/>
  <cols>
    <col collapsed="false" customWidth="true" hidden="false" outlineLevel="0" max="1" min="1" style="0" width="13.06"/>
    <col collapsed="false" customWidth="true" hidden="false" outlineLevel="0" max="3" min="2" style="0" width="14.15"/>
    <col collapsed="false" customWidth="true" hidden="false" outlineLevel="0" max="4" min="4" style="0" width="18.5"/>
    <col collapsed="false" customWidth="true" hidden="false" outlineLevel="0" max="5" min="5" style="0" width="13.06"/>
    <col collapsed="false" customWidth="true" hidden="false" outlineLevel="0" max="6" min="6" style="0" width="19.59"/>
    <col collapsed="false" customWidth="true" hidden="false" outlineLevel="0" max="7" min="7" style="0" width="14.15"/>
  </cols>
  <sheetData>
    <row r="1" customFormat="false" ht="15" hidden="false" customHeight="false" outlineLevel="0" collapsed="false">
      <c r="A1" s="1" t="s">
        <v>6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</row>
    <row r="2" customFormat="false" ht="15" hidden="false" customHeight="false" outlineLevel="0" collapsed="false">
      <c r="A2" s="2" t="s">
        <v>13</v>
      </c>
      <c r="B2" s="0" t="s">
        <v>80</v>
      </c>
      <c r="C2" s="0" t="s">
        <v>81</v>
      </c>
      <c r="D2" s="2" t="s">
        <v>82</v>
      </c>
      <c r="E2" s="2" t="s">
        <v>83</v>
      </c>
      <c r="F2" s="0" t="s">
        <v>84</v>
      </c>
      <c r="G2" s="0" t="s">
        <v>85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2026-10-17T16:40:09Z</dcterms:created>
  <dc:creator>jvc-analyst</dc:creator>
  <dc:description>虚构数字，用于计算回归和使用示范，不是行业证据。</dc:description>
  <dc:language>zh-CN</dc:language>
  <cp:lastModifiedBy>jvc-analyst</cp:lastModifiedBy>
  <dcterms:modified xsi:type="dcterms:W3CDTF">2026-10-17T16:40:09Z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