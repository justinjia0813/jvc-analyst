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stment_terms" sheetId="1" state="visible" r:id="rId3"/>
    <sheet name="financial_forecast" sheetId="2" state="visible" r:id="rId4"/>
    <sheet name="financing_dilution" sheetId="3" state="visible" r:id="rId5"/>
    <sheet name="exit_scenarios" sheetId="4" state="visible" r:id="rId6"/>
    <sheet name="ownership" sheetId="5" state="visible" r:id="rId7"/>
    <sheet name="returns" sheetId="6" state="visible" r:id="rId8"/>
    <sheet name="sensitivity" sheetId="7" state="visible" r:id="rId9"/>
    <sheet name="sources" sheetId="8" state="visible" r:id="rId10"/>
  </sheets>
  <definedNames>
    <definedName function="false" hidden="true" localSheetId="3" name="_xlnm._FilterDatabase" vbProcedure="false">exit_scenarios!$A$1:$J$4</definedName>
    <definedName function="false" hidden="true" localSheetId="1" name="_xlnm._FilterDatabase" vbProcedure="false">financial_forecast!$A$1:$K$6</definedName>
    <definedName function="false" hidden="true" localSheetId="2" name="_xlnm._FilterDatabase" vbProcedure="false">financing_dilution!$A$1:$K$2</definedName>
    <definedName function="false" hidden="true" localSheetId="0" name="_xlnm._FilterDatabase" vbProcedure="false">investment_terms!$A$1:$J$2</definedName>
    <definedName function="false" hidden="true" localSheetId="4" name="_xlnm._FilterDatabase" vbProcedure="false">ownership!$A$1:$F$2</definedName>
    <definedName function="false" hidden="true" localSheetId="5" name="_xlnm._FilterDatabase" vbProcedure="false">returns!$A$1:$I$4</definedName>
    <definedName function="false" hidden="true" localSheetId="6" name="_xlnm._FilterDatabase" vbProcedure="false">sensitivity!$A$1:$F$2</definedName>
    <definedName function="false" hidden="true" localSheetId="7" name="_xlnm._FilterDatabase" vbProcedure="false">sources!$A$1:$G$2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<sst xmlns="http://schemas.openxmlformats.org/spreadsheetml/2006/main" count="114" uniqueCount="77">
  <si>
    <t xml:space="preserve">investment_amount</t>
  </si>
  <si>
    <t xml:space="preserve">pre_money_valuation</t>
  </si>
  <si>
    <t xml:space="preserve">post_money_valuation</t>
  </si>
  <si>
    <t xml:space="preserve">initial_ownership</t>
  </si>
  <si>
    <t xml:space="preserve">security_type</t>
  </si>
  <si>
    <t xml:space="preserve">option_pool</t>
  </si>
  <si>
    <t xml:space="preserve">currency</t>
  </si>
  <si>
    <t xml:space="preserve">source_id</t>
  </si>
  <si>
    <t xml:space="preserve">notes</t>
  </si>
  <si>
    <t xml:space="preserve">investment_year</t>
  </si>
  <si>
    <t xml:space="preserve">普通股</t>
  </si>
  <si>
    <r>
      <rPr>
        <sz val="11"/>
        <color theme="1"/>
        <rFont val="Calibri"/>
        <family val="2"/>
        <charset val="1"/>
      </rPr>
      <t xml:space="preserve">CNY </t>
    </r>
    <r>
      <rPr>
        <sz val="11"/>
        <color theme="1"/>
        <rFont val="Linux Libertine G"/>
        <family val="2"/>
      </rPr>
      <t xml:space="preserve">万元</t>
    </r>
  </si>
  <si>
    <t xml:space="preserve">S1</t>
  </si>
  <si>
    <t xml:space="preserve">同股同权；无分红；各笔现金流均按年末发生</t>
  </si>
  <si>
    <t xml:space="preserve">year</t>
  </si>
  <si>
    <t xml:space="preserve">revenue</t>
  </si>
  <si>
    <t xml:space="preserve">gross_margin</t>
  </si>
  <si>
    <t xml:space="preserve">gross_profit</t>
  </si>
  <si>
    <t xml:space="preserve">EBITDA</t>
  </si>
  <si>
    <t xml:space="preserve">net_income</t>
  </si>
  <si>
    <t xml:space="preserve">cash_burn</t>
  </si>
  <si>
    <t xml:space="preserve">ending_cash</t>
  </si>
  <si>
    <t xml:space="preserve">opening_cash</t>
  </si>
  <si>
    <t xml:space="preserve">现金为简化经营情景，不含未来融资；期初现金独立给定</t>
  </si>
  <si>
    <t xml:space="preserve">round</t>
  </si>
  <si>
    <t xml:space="preserve">new_money</t>
  </si>
  <si>
    <t xml:space="preserve">investor_participates</t>
  </si>
  <si>
    <t xml:space="preserve">pro_rata_amount</t>
  </si>
  <si>
    <t xml:space="preserve">dilution_pct</t>
  </si>
  <si>
    <t xml:space="preserve">ownership_after_round</t>
  </si>
  <si>
    <t xml:space="preserve">A</t>
  </si>
  <si>
    <t xml:space="preserve">否</t>
  </si>
  <si>
    <t xml:space="preserve">scenario</t>
  </si>
  <si>
    <t xml:space="preserve">exit_year</t>
  </si>
  <si>
    <t xml:space="preserve">exit_metric</t>
  </si>
  <si>
    <t xml:space="preserve">exit_metric_value</t>
  </si>
  <si>
    <t xml:space="preserve">exit_multiple</t>
  </si>
  <si>
    <t xml:space="preserve">enterprise_value</t>
  </si>
  <si>
    <t xml:space="preserve">net_debt_or_cash</t>
  </si>
  <si>
    <t xml:space="preserve">equity_value</t>
  </si>
  <si>
    <t xml:space="preserve">保守</t>
  </si>
  <si>
    <t xml:space="preserve">收入</t>
  </si>
  <si>
    <t xml:space="preserve">净债务正数；全部为假设</t>
  </si>
  <si>
    <t xml:space="preserve">中性</t>
  </si>
  <si>
    <t xml:space="preserve">乐观</t>
  </si>
  <si>
    <t xml:space="preserve">year_or_round</t>
  </si>
  <si>
    <t xml:space="preserve">ownership_start</t>
  </si>
  <si>
    <t xml:space="preserve">pro_rata_investment</t>
  </si>
  <si>
    <t xml:space="preserve">ownership_end</t>
  </si>
  <si>
    <t xml:space="preserve">普通股逐轮稀释</t>
  </si>
  <si>
    <t xml:space="preserve">invested_capital</t>
  </si>
  <si>
    <t xml:space="preserve">final_ownership</t>
  </si>
  <si>
    <t xml:space="preserve">exit_equity_value</t>
  </si>
  <si>
    <t xml:space="preserve">proceeds</t>
  </si>
  <si>
    <t xml:space="preserve">MOIC</t>
  </si>
  <si>
    <t xml:space="preserve">IRR</t>
  </si>
  <si>
    <t xml:space="preserve">key_driver</t>
  </si>
  <si>
    <t xml:space="preserve">退出收入与估值倍数；此示例没有跟投</t>
  </si>
  <si>
    <t xml:space="preserve">variable</t>
  </si>
  <si>
    <t xml:space="preserve">low_case</t>
  </si>
  <si>
    <t xml:space="preserve">base_case</t>
  </si>
  <si>
    <t xml:space="preserve">high_case</t>
  </si>
  <si>
    <t xml:space="preserve">impact_on_MOIC</t>
  </si>
  <si>
    <t xml:space="preserve">impact_on_IRR</t>
  </si>
  <si>
    <t xml:space="preserve">中性退出倍数</t>
  </si>
  <si>
    <t xml:space="preserve">source_name</t>
  </si>
  <si>
    <t xml:space="preserve">source_type</t>
  </si>
  <si>
    <t xml:space="preserve">url_or_location</t>
  </si>
  <si>
    <t xml:space="preserve">date</t>
  </si>
  <si>
    <t xml:space="preserve">fields_supported</t>
  </si>
  <si>
    <t xml:space="preserve">reliability</t>
  </si>
  <si>
    <t xml:space="preserve">虚构回归情景</t>
  </si>
  <si>
    <t xml:space="preserve">用户假设</t>
  </si>
  <si>
    <t xml:space="preserve">examples/README.md</t>
  </si>
  <si>
    <t xml:space="preserve">2026-10-18</t>
  </si>
  <si>
    <t xml:space="preserve">全部假设；单位：万元，市场模型除外</t>
  </si>
  <si>
    <t xml:space="preserve">假设计算，不代表事实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</si>
</sst>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20.68"/>
    <col collapsed="false" customWidth="true" hidden="false" outlineLevel="0" max="2" min="2" style="0" width="22.86"/>
    <col collapsed="false" customWidth="true" hidden="false" outlineLevel="0" max="3" min="3" style="0" width="23.94"/>
    <col collapsed="false" customWidth="true" hidden="false" outlineLevel="0" max="4" min="4" style="0" width="20.68"/>
    <col collapsed="false" customWidth="true" hidden="false" outlineLevel="0" max="5" min="5" style="0" width="16.32"/>
    <col collapsed="false" customWidth="true" hidden="false" outlineLevel="0" max="6" min="6" style="0" width="14.15"/>
    <col collapsed="false" customWidth="true" hidden="false" outlineLevel="0" max="9" min="7" style="0" width="13.06"/>
    <col collapsed="false" customWidth="true" hidden="false" outlineLevel="0" max="10" min="10" style="0" width="18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n">
        <v>10</v>
      </c>
      <c r="B2" s="0" t="n">
        <v>90</v>
      </c>
      <c r="C2" s="0" t="n">
        <v>100</v>
      </c>
      <c r="D2" s="2" t="n">
        <f aca="false">A2/C2</f>
        <v>0.1</v>
      </c>
      <c r="E2" s="0" t="s">
        <v>10</v>
      </c>
      <c r="F2" s="0" t="n">
        <v>0</v>
      </c>
      <c r="G2" s="3" t="s">
        <v>11</v>
      </c>
      <c r="H2" s="3" t="s">
        <v>12</v>
      </c>
      <c r="I2" s="0" t="s">
        <v>13</v>
      </c>
      <c r="J2" s="0" t="n">
        <v>2026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3.06"/>
    <col collapsed="false" customWidth="true" hidden="false" outlineLevel="0" max="4" min="3" style="0" width="15.23"/>
    <col collapsed="false" customWidth="true" hidden="false" outlineLevel="0" max="7" min="5" style="0" width="13.06"/>
    <col collapsed="false" customWidth="true" hidden="false" outlineLevel="0" max="8" min="8" style="0" width="14.15"/>
    <col collapsed="false" customWidth="true" hidden="false" outlineLevel="0" max="10" min="9" style="0" width="13.06"/>
    <col collapsed="false" customWidth="true" hidden="false" outlineLevel="0" max="11" min="11" style="0" width="15.23"/>
  </cols>
  <sheetData>
    <row r="1" customFormat="false" ht="15" hidden="false" customHeight="fals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7</v>
      </c>
      <c r="J1" s="1" t="s">
        <v>8</v>
      </c>
      <c r="K1" s="1" t="s">
        <v>22</v>
      </c>
    </row>
    <row r="2" customFormat="false" ht="15" hidden="false" customHeight="false" outlineLevel="0" collapsed="false">
      <c r="A2" s="0" t="n">
        <v>2027</v>
      </c>
      <c r="B2" s="0" t="n">
        <v>30</v>
      </c>
      <c r="C2" s="2" t="n">
        <v>0.5</v>
      </c>
      <c r="D2" s="2" t="n">
        <f aca="false">B2*C2</f>
        <v>15</v>
      </c>
      <c r="E2" s="0" t="n">
        <v>10</v>
      </c>
      <c r="F2" s="0" t="n">
        <v>5</v>
      </c>
      <c r="G2" s="0" t="n">
        <v>10</v>
      </c>
      <c r="H2" s="2" t="n">
        <f aca="false">K2-G2</f>
        <v>90</v>
      </c>
      <c r="I2" s="3" t="s">
        <v>12</v>
      </c>
      <c r="J2" s="0" t="s">
        <v>23</v>
      </c>
      <c r="K2" s="0" t="n">
        <v>100</v>
      </c>
    </row>
    <row r="3" customFormat="false" ht="15" hidden="false" customHeight="false" outlineLevel="0" collapsed="false">
      <c r="A3" s="0" t="n">
        <v>2028</v>
      </c>
      <c r="B3" s="0" t="n">
        <v>50</v>
      </c>
      <c r="C3" s="2" t="n">
        <v>0.5</v>
      </c>
      <c r="D3" s="2" t="n">
        <f aca="false">B3*C3</f>
        <v>25</v>
      </c>
      <c r="E3" s="0" t="n">
        <v>10</v>
      </c>
      <c r="F3" s="0" t="n">
        <v>5</v>
      </c>
      <c r="G3" s="0" t="n">
        <v>10</v>
      </c>
      <c r="H3" s="2" t="n">
        <f aca="false">K3-G3</f>
        <v>80</v>
      </c>
      <c r="I3" s="3" t="s">
        <v>12</v>
      </c>
      <c r="J3" s="0" t="s">
        <v>23</v>
      </c>
      <c r="K3" s="2" t="n">
        <f aca="false">H2</f>
        <v>90</v>
      </c>
    </row>
    <row r="4" customFormat="false" ht="15" hidden="false" customHeight="false" outlineLevel="0" collapsed="false">
      <c r="A4" s="0" t="n">
        <v>2029</v>
      </c>
      <c r="B4" s="0" t="n">
        <v>70</v>
      </c>
      <c r="C4" s="2" t="n">
        <v>0.5</v>
      </c>
      <c r="D4" s="2" t="n">
        <f aca="false">B4*C4</f>
        <v>35</v>
      </c>
      <c r="E4" s="0" t="n">
        <v>10</v>
      </c>
      <c r="F4" s="0" t="n">
        <v>5</v>
      </c>
      <c r="G4" s="0" t="n">
        <v>10</v>
      </c>
      <c r="H4" s="2" t="n">
        <f aca="false">K4-G4</f>
        <v>70</v>
      </c>
      <c r="I4" s="3" t="s">
        <v>12</v>
      </c>
      <c r="J4" s="0" t="s">
        <v>23</v>
      </c>
      <c r="K4" s="2" t="n">
        <f aca="false">H3</f>
        <v>80</v>
      </c>
    </row>
    <row r="5" customFormat="false" ht="15" hidden="false" customHeight="false" outlineLevel="0" collapsed="false">
      <c r="A5" s="0" t="n">
        <v>2030</v>
      </c>
      <c r="B5" s="0" t="n">
        <v>90</v>
      </c>
      <c r="C5" s="2" t="n">
        <v>0.5</v>
      </c>
      <c r="D5" s="2" t="n">
        <f aca="false">B5*C5</f>
        <v>45</v>
      </c>
      <c r="E5" s="0" t="n">
        <v>10</v>
      </c>
      <c r="F5" s="0" t="n">
        <v>5</v>
      </c>
      <c r="G5" s="0" t="n">
        <v>10</v>
      </c>
      <c r="H5" s="2" t="n">
        <f aca="false">K5-G5</f>
        <v>60</v>
      </c>
      <c r="I5" s="3" t="s">
        <v>12</v>
      </c>
      <c r="J5" s="0" t="s">
        <v>23</v>
      </c>
      <c r="K5" s="2" t="n">
        <f aca="false">H4</f>
        <v>70</v>
      </c>
    </row>
    <row r="6" customFormat="false" ht="15" hidden="false" customHeight="false" outlineLevel="0" collapsed="false">
      <c r="A6" s="0" t="n">
        <v>2031</v>
      </c>
      <c r="B6" s="0" t="n">
        <v>100</v>
      </c>
      <c r="C6" s="2" t="n">
        <v>0.5</v>
      </c>
      <c r="D6" s="2" t="n">
        <f aca="false">B6*C6</f>
        <v>50</v>
      </c>
      <c r="E6" s="0" t="n">
        <v>10</v>
      </c>
      <c r="F6" s="0" t="n">
        <v>5</v>
      </c>
      <c r="G6" s="0" t="n">
        <v>10</v>
      </c>
      <c r="H6" s="2" t="n">
        <f aca="false">K6-G6</f>
        <v>50</v>
      </c>
      <c r="I6" s="3" t="s">
        <v>12</v>
      </c>
      <c r="J6" s="0" t="s">
        <v>23</v>
      </c>
      <c r="K6" s="2" t="n">
        <f aca="false">H5</f>
        <v>60</v>
      </c>
    </row>
  </sheetData>
  <autoFilter ref="A1:K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3" min="1" style="0" width="13.06"/>
    <col collapsed="false" customWidth="true" hidden="false" outlineLevel="0" max="4" min="4" style="0" width="22.86"/>
    <col collapsed="false" customWidth="true" hidden="false" outlineLevel="0" max="5" min="5" style="0" width="23.94"/>
    <col collapsed="false" customWidth="true" hidden="false" outlineLevel="0" max="6" min="6" style="0" width="25.03"/>
    <col collapsed="false" customWidth="true" hidden="false" outlineLevel="0" max="7" min="7" style="0" width="18.5"/>
    <col collapsed="false" customWidth="true" hidden="false" outlineLevel="0" max="8" min="8" style="0" width="15.23"/>
    <col collapsed="false" customWidth="true" hidden="false" outlineLevel="0" max="9" min="9" style="0" width="25.03"/>
    <col collapsed="false" customWidth="true" hidden="false" outlineLevel="0" max="11" min="10" style="0" width="13.06"/>
  </cols>
  <sheetData>
    <row r="1" customFormat="false" ht="15" hidden="false" customHeight="false" outlineLevel="0" collapsed="false">
      <c r="A1" s="1" t="s">
        <v>24</v>
      </c>
      <c r="B1" s="1" t="s">
        <v>14</v>
      </c>
      <c r="C1" s="1" t="s">
        <v>25</v>
      </c>
      <c r="D1" s="1" t="s">
        <v>1</v>
      </c>
      <c r="E1" s="1" t="s">
        <v>2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7</v>
      </c>
      <c r="K1" s="1" t="s">
        <v>8</v>
      </c>
    </row>
    <row r="2" customFormat="false" ht="15" hidden="false" customHeight="false" outlineLevel="0" collapsed="false">
      <c r="A2" s="3" t="s">
        <v>30</v>
      </c>
      <c r="B2" s="0" t="n">
        <v>2027</v>
      </c>
      <c r="C2" s="0" t="n">
        <v>100</v>
      </c>
      <c r="D2" s="0" t="n">
        <v>400</v>
      </c>
      <c r="E2" s="2" t="n">
        <f aca="false">C2+D2</f>
        <v>500</v>
      </c>
      <c r="F2" s="0" t="s">
        <v>31</v>
      </c>
      <c r="G2" s="0" t="n">
        <v>0</v>
      </c>
      <c r="H2" s="2" t="n">
        <f aca="false">C2/E2</f>
        <v>0.2</v>
      </c>
      <c r="I2" s="2" t="n">
        <f aca="false">(investment_terms!D2*D2+G2)/E2</f>
        <v>0.08</v>
      </c>
      <c r="J2" s="3" t="s">
        <v>12</v>
      </c>
    </row>
  </sheetData>
  <autoFilter ref="A1:K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2" min="1" style="0" width="13.06"/>
    <col collapsed="false" customWidth="true" hidden="false" outlineLevel="0" max="3" min="3" style="0" width="14.15"/>
    <col collapsed="false" customWidth="true" hidden="false" outlineLevel="0" max="4" min="4" style="0" width="20.68"/>
    <col collapsed="false" customWidth="true" hidden="false" outlineLevel="0" max="5" min="5" style="0" width="16.32"/>
    <col collapsed="false" customWidth="true" hidden="false" outlineLevel="0" max="7" min="6" style="0" width="19.59"/>
    <col collapsed="false" customWidth="true" hidden="false" outlineLevel="0" max="8" min="8" style="0" width="15.23"/>
    <col collapsed="false" customWidth="true" hidden="false" outlineLevel="0" max="10" min="9" style="0" width="13.06"/>
  </cols>
  <sheetData>
    <row r="1" customFormat="false" ht="15" hidden="false" customHeight="false" outlineLevel="0" collapsed="false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7</v>
      </c>
      <c r="J1" s="1" t="s">
        <v>8</v>
      </c>
    </row>
    <row r="2" customFormat="false" ht="15" hidden="false" customHeight="false" outlineLevel="0" collapsed="false">
      <c r="A2" s="0" t="s">
        <v>40</v>
      </c>
      <c r="B2" s="0" t="n">
        <v>2031</v>
      </c>
      <c r="C2" s="0" t="s">
        <v>41</v>
      </c>
      <c r="D2" s="0" t="n">
        <v>50</v>
      </c>
      <c r="E2" s="0" t="n">
        <v>5</v>
      </c>
      <c r="F2" s="2" t="n">
        <f aca="false">D2*E2</f>
        <v>250</v>
      </c>
      <c r="G2" s="0" t="n">
        <v>10</v>
      </c>
      <c r="H2" s="2" t="n">
        <f aca="false">F2-G2</f>
        <v>240</v>
      </c>
      <c r="I2" s="3" t="s">
        <v>12</v>
      </c>
      <c r="J2" s="0" t="s">
        <v>42</v>
      </c>
    </row>
    <row r="3" customFormat="false" ht="15" hidden="false" customHeight="false" outlineLevel="0" collapsed="false">
      <c r="A3" s="0" t="s">
        <v>43</v>
      </c>
      <c r="B3" s="0" t="n">
        <v>2031</v>
      </c>
      <c r="C3" s="0" t="s">
        <v>41</v>
      </c>
      <c r="D3" s="0" t="n">
        <v>100</v>
      </c>
      <c r="E3" s="0" t="n">
        <v>5</v>
      </c>
      <c r="F3" s="2" t="n">
        <f aca="false">D3*E3</f>
        <v>500</v>
      </c>
      <c r="G3" s="0" t="n">
        <v>10</v>
      </c>
      <c r="H3" s="2" t="n">
        <f aca="false">F3-G3</f>
        <v>490</v>
      </c>
      <c r="I3" s="3" t="s">
        <v>12</v>
      </c>
      <c r="J3" s="0" t="s">
        <v>42</v>
      </c>
    </row>
    <row r="4" customFormat="false" ht="15" hidden="false" customHeight="false" outlineLevel="0" collapsed="false">
      <c r="A4" s="0" t="s">
        <v>44</v>
      </c>
      <c r="B4" s="0" t="n">
        <v>2031</v>
      </c>
      <c r="C4" s="0" t="s">
        <v>41</v>
      </c>
      <c r="D4" s="0" t="n">
        <v>150</v>
      </c>
      <c r="E4" s="0" t="n">
        <v>5</v>
      </c>
      <c r="F4" s="2" t="n">
        <f aca="false">D4*E4</f>
        <v>750</v>
      </c>
      <c r="G4" s="0" t="n">
        <v>10</v>
      </c>
      <c r="H4" s="2" t="n">
        <f aca="false">F4-G4</f>
        <v>740</v>
      </c>
      <c r="I4" s="3" t="s">
        <v>12</v>
      </c>
      <c r="J4" s="0" t="s">
        <v>42</v>
      </c>
    </row>
  </sheetData>
  <autoFilter ref="A1:J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6.32"/>
    <col collapsed="false" customWidth="true" hidden="false" outlineLevel="0" max="2" min="2" style="0" width="18.5"/>
    <col collapsed="false" customWidth="true" hidden="false" outlineLevel="0" max="3" min="3" style="0" width="15.23"/>
    <col collapsed="false" customWidth="true" hidden="false" outlineLevel="0" max="4" min="4" style="0" width="22.86"/>
    <col collapsed="false" customWidth="true" hidden="false" outlineLevel="0" max="5" min="5" style="0" width="16.32"/>
    <col collapsed="false" customWidth="true" hidden="false" outlineLevel="0" max="6" min="6" style="0" width="13.06"/>
  </cols>
  <sheetData>
    <row r="1" customFormat="false" ht="15" hidden="false" customHeight="false" outlineLevel="0" collapsed="false">
      <c r="A1" s="1" t="s">
        <v>45</v>
      </c>
      <c r="B1" s="1" t="s">
        <v>46</v>
      </c>
      <c r="C1" s="1" t="s">
        <v>28</v>
      </c>
      <c r="D1" s="1" t="s">
        <v>47</v>
      </c>
      <c r="E1" s="1" t="s">
        <v>48</v>
      </c>
      <c r="F1" s="1" t="s">
        <v>8</v>
      </c>
    </row>
    <row r="2" customFormat="false" ht="15" hidden="false" customHeight="false" outlineLevel="0" collapsed="false">
      <c r="A2" s="0" t="n">
        <v>2027</v>
      </c>
      <c r="B2" s="2" t="n">
        <f aca="false">investment_terms!D2</f>
        <v>0.1</v>
      </c>
      <c r="C2" s="2" t="n">
        <f aca="false">financing_dilution!H2</f>
        <v>0.2</v>
      </c>
      <c r="D2" s="2" t="n">
        <f aca="false">financing_dilution!G2</f>
        <v>0</v>
      </c>
      <c r="E2" s="2" t="n">
        <f aca="false">financing_dilution!I2</f>
        <v>0.08</v>
      </c>
      <c r="F2" s="0" t="s">
        <v>49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2" min="2" style="0" width="19.59"/>
    <col collapsed="false" customWidth="true" hidden="false" outlineLevel="0" max="3" min="3" style="0" width="13.06"/>
    <col collapsed="false" customWidth="true" hidden="false" outlineLevel="0" max="4" min="4" style="0" width="18.5"/>
    <col collapsed="false" customWidth="true" hidden="false" outlineLevel="0" max="5" min="5" style="0" width="20.68"/>
    <col collapsed="false" customWidth="true" hidden="false" outlineLevel="0" max="9" min="6" style="0" width="13.06"/>
  </cols>
  <sheetData>
    <row r="1" customFormat="false" ht="15" hidden="false" customHeight="false" outlineLevel="0" collapsed="false">
      <c r="A1" s="1" t="s">
        <v>32</v>
      </c>
      <c r="B1" s="1" t="s">
        <v>50</v>
      </c>
      <c r="C1" s="1" t="s">
        <v>33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customFormat="false" ht="15" hidden="false" customHeight="false" outlineLevel="0" collapsed="false">
      <c r="A2" s="0" t="s">
        <v>40</v>
      </c>
      <c r="B2" s="2" t="n">
        <f aca="false">investment_terms!A2+SUM(financing_dilution!G2)</f>
        <v>10</v>
      </c>
      <c r="C2" s="0" t="n">
        <v>2031</v>
      </c>
      <c r="D2" s="2" t="n">
        <f aca="false">ownership!E2</f>
        <v>0.08</v>
      </c>
      <c r="E2" s="2" t="n">
        <f aca="false">exit_scenarios!H2</f>
        <v>240</v>
      </c>
      <c r="F2" s="2" t="n">
        <f aca="false">D2*E2</f>
        <v>19.2</v>
      </c>
      <c r="G2" s="2" t="n">
        <f aca="false">F2/B2</f>
        <v>1.92</v>
      </c>
      <c r="H2" s="2" t="n">
        <f aca="false">G2^(1/(C2-investment_terms!J2))-1</f>
        <v>0.139358104056702</v>
      </c>
      <c r="I2" s="0" t="s">
        <v>57</v>
      </c>
    </row>
    <row r="3" customFormat="false" ht="15" hidden="false" customHeight="false" outlineLevel="0" collapsed="false">
      <c r="A3" s="0" t="s">
        <v>43</v>
      </c>
      <c r="B3" s="2" t="n">
        <f aca="false">investment_terms!A2+SUM(financing_dilution!G2)</f>
        <v>10</v>
      </c>
      <c r="C3" s="0" t="n">
        <v>2031</v>
      </c>
      <c r="D3" s="2" t="n">
        <f aca="false">ownership!E2</f>
        <v>0.08</v>
      </c>
      <c r="E3" s="2" t="n">
        <f aca="false">exit_scenarios!H3</f>
        <v>490</v>
      </c>
      <c r="F3" s="2" t="n">
        <f aca="false">D3*E3</f>
        <v>39.2</v>
      </c>
      <c r="G3" s="2" t="n">
        <f aca="false">F3/B3</f>
        <v>3.92</v>
      </c>
      <c r="H3" s="2" t="n">
        <f aca="false">G3^(1/(C3-investment_terms!J2))-1</f>
        <v>0.314187140982368</v>
      </c>
      <c r="I3" s="0" t="s">
        <v>57</v>
      </c>
    </row>
    <row r="4" customFormat="false" ht="15" hidden="false" customHeight="false" outlineLevel="0" collapsed="false">
      <c r="A4" s="0" t="s">
        <v>44</v>
      </c>
      <c r="B4" s="2" t="n">
        <f aca="false">investment_terms!A2+SUM(financing_dilution!G2)</f>
        <v>10</v>
      </c>
      <c r="C4" s="0" t="n">
        <v>2031</v>
      </c>
      <c r="D4" s="2" t="n">
        <f aca="false">ownership!E2</f>
        <v>0.08</v>
      </c>
      <c r="E4" s="2" t="n">
        <f aca="false">exit_scenarios!H4</f>
        <v>740</v>
      </c>
      <c r="F4" s="2" t="n">
        <f aca="false">D4*E4</f>
        <v>59.2</v>
      </c>
      <c r="G4" s="2" t="n">
        <f aca="false">F4/B4</f>
        <v>5.92</v>
      </c>
      <c r="H4" s="2" t="n">
        <f aca="false">G4^(1/(C4-investment_terms!J2))-1</f>
        <v>0.427132647647747</v>
      </c>
      <c r="I4" s="0" t="s">
        <v>57</v>
      </c>
    </row>
  </sheetData>
  <autoFilter ref="A1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4" min="1" style="0" width="13.06"/>
    <col collapsed="false" customWidth="true" hidden="false" outlineLevel="0" max="5" min="5" style="0" width="17.41"/>
    <col collapsed="false" customWidth="true" hidden="false" outlineLevel="0" max="6" min="6" style="0" width="16.32"/>
  </cols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</row>
    <row r="2" customFormat="false" ht="15" hidden="false" customHeight="false" outlineLevel="0" collapsed="false">
      <c r="A2" s="0" t="s">
        <v>64</v>
      </c>
      <c r="B2" s="0" t="n">
        <v>4</v>
      </c>
      <c r="C2" s="0" t="n">
        <v>5</v>
      </c>
      <c r="D2" s="0" t="n">
        <v>6</v>
      </c>
      <c r="E2" s="2" t="n">
        <f aca="false">returns!G3</f>
        <v>3.92</v>
      </c>
      <c r="F2" s="2" t="n">
        <f aca="false">returns!H3</f>
        <v>0.314187140982368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1" min="1" style="0" width="13.06"/>
    <col collapsed="false" customWidth="true" hidden="false" outlineLevel="0" max="3" min="2" style="0" width="14.15"/>
    <col collapsed="false" customWidth="true" hidden="false" outlineLevel="0" max="4" min="4" style="0" width="18.5"/>
    <col collapsed="false" customWidth="true" hidden="false" outlineLevel="0" max="5" min="5" style="0" width="13.06"/>
    <col collapsed="false" customWidth="true" hidden="false" outlineLevel="0" max="6" min="6" style="0" width="19.59"/>
    <col collapsed="false" customWidth="true" hidden="false" outlineLevel="0" max="7" min="7" style="0" width="14.15"/>
  </cols>
  <sheetData>
    <row r="1" customFormat="false" ht="15" hidden="false" customHeight="false" outlineLevel="0" collapsed="false">
      <c r="A1" s="1" t="s">
        <v>7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customFormat="false" ht="15" hidden="false" customHeight="false" outlineLevel="0" collapsed="false">
      <c r="A2" s="3" t="s">
        <v>12</v>
      </c>
      <c r="B2" s="0" t="s">
        <v>71</v>
      </c>
      <c r="C2" s="0" t="s">
        <v>72</v>
      </c>
      <c r="D2" s="3" t="s">
        <v>73</v>
      </c>
      <c r="E2" s="3" t="s">
        <v>74</v>
      </c>
      <c r="F2" s="0" t="s">
        <v>75</v>
      </c>
      <c r="G2" s="0" t="s">
        <v>76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2026-10-17T16:40:11Z</dcterms:created>
  <dc:creator>jvc-analyst</dc:creator>
  <dc:description>虚构数字，用于计算回归和使用示范，不是行业证据。</dc:description>
  <dc:language>zh-CN</dc:language>
  <cp:lastModifiedBy>jvc-analyst</cp:lastModifiedBy>
  <dcterms:modified xsi:type="dcterms:W3CDTF">2026-10-17T16:40:11Z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