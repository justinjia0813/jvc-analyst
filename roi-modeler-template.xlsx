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0" windowHeight="14500"/>
  </bookViews>
  <sheets>
    <sheet name="投资回报模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<sst xmlns="http://schemas.openxmlformats.org/spreadsheetml/2006/main" count="33" uniqueCount="25">
  <si>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B轮</t>
  </si>
  <si>
    <t>C轮</t>
  </si>
  <si>
    <t>稀释率</t>
  </si>
  <si>
    <t>IPO申报</t>
  </si>
  <si>
    <t>IPO</t>
  </si>
  <si>
    <t>退出（保守）</t>
  </si>
  <si>
    <t>退出（中性）</t>
  </si>
  <si>
    <t>退出（乐观）</t>
  </si>
  <si>
    <t>PE/PS估值及收益测算</t>
  </si>
  <si>
    <t>万元人民币</t>
  </si>
  <si>
    <t>收入</t>
  </si>
  <si>
    <t>净利润</t>
  </si>
  <si>
    <t>净利率（%）</t>
  </si>
  <si>
    <t>估值方法</t>
  </si>
  <si>
    <t>C-P/E</t>
  </si>
  <si>
    <t>P/S</t>
  </si>
  <si>
    <t>P/E</t>
  </si>
  <si>
    <t>A公司估值</t>
  </si>
  <si>
    <t>基金股比（%）</t>
  </si>
  <si>
    <t>基金股权估值</t>
  </si>
  <si>
    <t>基金投资本金</t>
  </si>
  <si>
    <t>基金投资净收益</t>
  </si>
  <si>
    <t>基金投资收益-IRR（%）</t>
  </si>
  <si>
    <t>基金投资收益-Multiple</t>
  </si>
  <si>
    <t>Return Rate（%）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</si>
</sst>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4">
    <font>
      <sz val="12"/>
      <color theme="1"/>
      <name val="等线"/>
      <charset val="134"/>
      <scheme val="minor"/>
    </font>
    <font>
      <b/>
      <i/>
      <sz val="12"/>
      <color rgb="FFFF00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theme="3" tint="0.499984740745262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176" fontId="0" fillId="0" borderId="0" xfId="0" applyNumberFormat="1">
      <alignment vertical="center"/>
    </xf>
    <xf numFmtId="10" fontId="0" fillId="2" borderId="0" xfId="0" applyNumberFormat="1" applyFill="1">
      <alignment vertical="center"/>
    </xf>
    <xf numFmtId="176" fontId="1" fillId="0" borderId="0" xfId="0" applyNumberFormat="1" applyFont="1">
      <alignment vertical="center"/>
    </xf>
    <xf numFmtId="176" fontId="0" fillId="0" borderId="1" xfId="0" applyNumberFormat="1" applyBorder="1">
      <alignment vertical="center"/>
    </xf>
    <xf numFmtId="176" fontId="0" fillId="0" borderId="2" xfId="0" applyNumberFormat="1" applyBorder="1">
      <alignment vertical="center"/>
    </xf>
    <xf numFmtId="176" fontId="0" fillId="0" borderId="3" xfId="0" applyNumberFormat="1" applyBorder="1">
      <alignment vertical="center"/>
    </xf>
    <xf numFmtId="176" fontId="2" fillId="3" borderId="4" xfId="0" applyNumberFormat="1" applyFont="1" applyFill="1" applyBorder="1">
      <alignment vertical="center"/>
    </xf>
    <xf numFmtId="176" fontId="2" fillId="3" borderId="0" xfId="0" applyNumberFormat="1" applyFont="1" applyFill="1">
      <alignment vertical="center"/>
    </xf>
    <xf numFmtId="14" fontId="2" fillId="3" borderId="0" xfId="0" applyNumberFormat="1" applyFont="1" applyFill="1">
      <alignment vertical="center"/>
    </xf>
    <xf numFmtId="14" fontId="2" fillId="3" borderId="5" xfId="0" applyNumberFormat="1" applyFont="1" applyFill="1" applyBorder="1">
      <alignment vertical="center"/>
    </xf>
    <xf numFmtId="176" fontId="0" fillId="0" borderId="4" xfId="0" applyNumberFormat="1" applyBorder="1">
      <alignment vertical="center"/>
    </xf>
    <xf numFmtId="176" fontId="0" fillId="0" borderId="5" xfId="0" applyNumberFormat="1" applyBorder="1">
      <alignment vertical="center"/>
    </xf>
    <xf numFmtId="176" fontId="3" fillId="0" borderId="0" xfId="0" applyNumberFormat="1" applyFont="1">
      <alignment vertical="center"/>
    </xf>
    <xf numFmtId="176" fontId="3" fillId="0" borderId="5" xfId="0" applyNumberFormat="1" applyFont="1" applyBorder="1">
      <alignment vertical="center"/>
    </xf>
    <xf numFmtId="176" fontId="0" fillId="0" borderId="6" xfId="0" applyNumberFormat="1" applyBorder="1">
      <alignment vertical="center"/>
    </xf>
    <xf numFmtId="176" fontId="0" fillId="0" borderId="7" xfId="0" applyNumberFormat="1" applyBorder="1">
      <alignment vertical="center"/>
    </xf>
    <xf numFmtId="176" fontId="0" fillId="0" borderId="8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N30"/>
  <sheetViews>
    <sheetView tabSelected="1" zoomScale="150" zoomScaleNormal="150" topLeftCell="C1" workbookViewId="0">
      <selection activeCell="Q13" sqref="Q13"/>
    </sheetView>
  </sheetViews>
  <sheetFormatPr defaultColWidth="11" defaultRowHeight="17.6"/>
  <cols>
    <col min="1" max="5" width="10.8333333333333" style="1"/>
    <col min="6" max="14" width="13" style="1" customWidth="1"/>
    <col min="15" max="16384" width="10.8333333333333" style="1"/>
  </cols>
  <sheetData>
    <row r="1" ht="17" customHeight="1"/>
    <row r="2" ht="17" customHeight="1"/>
    <row r="3" ht="17" customHeight="1" spans="3:14">
      <c r="H3" s="1" t="s">
        <v>0</v>
      </c>
      <c r="I3" s="1" t="s">
        <v>1</v>
      </c>
    </row>
    <row r="4" ht="17" customHeight="1" spans="3:14">
      <c r="C4" s="1" t="s">
        <v>2</v>
      </c>
      <c r="H4" s="2">
        <v>0.1</v>
      </c>
      <c r="I4" s="2">
        <v>0.1</v>
      </c>
      <c r="K4" s="2">
        <v>0.25</v>
      </c>
    </row>
    <row r="5" ht="18.35" spans="3:14">
      <c r="J5" s="3" t="s">
        <v>3</v>
      </c>
      <c r="K5" s="3" t="s">
        <v>4</v>
      </c>
      <c r="L5" s="3" t="s">
        <v>5</v>
      </c>
      <c r="M5" s="3" t="s">
        <v>6</v>
      </c>
      <c r="N5" s="3" t="s">
        <v>7</v>
      </c>
    </row>
    <row r="6" spans="3:14">
      <c r="C6" s="4" t="s">
        <v>8</v>
      </c>
      <c r="D6" s="5"/>
      <c r="E6" s="5"/>
      <c r="F6" s="5"/>
      <c r="G6" s="5"/>
      <c r="H6" s="5"/>
      <c r="I6" s="5"/>
      <c r="J6" s="5"/>
      <c r="K6" s="5"/>
      <c r="L6" s="5"/>
      <c r="M6" s="5"/>
      <c r="N6" s="6"/>
    </row>
    <row r="7" spans="3:14">
      <c r="C7" s="7" t="s">
        <v>9</v>
      </c>
      <c r="D7" s="8"/>
      <c r="E7" s="8"/>
      <c r="F7" s="9">
        <v>45657</v>
      </c>
      <c r="G7" s="9">
        <v>46022</v>
      </c>
      <c r="H7" s="9">
        <v>46387</v>
      </c>
      <c r="I7" s="9">
        <v>46752</v>
      </c>
      <c r="J7" s="9">
        <v>47118</v>
      </c>
      <c r="K7" s="9">
        <v>47483</v>
      </c>
      <c r="L7" s="9">
        <v>47848</v>
      </c>
      <c r="M7" s="9">
        <v>47848</v>
      </c>
      <c r="N7" s="10">
        <v>47848</v>
      </c>
    </row>
    <row r="8" spans="3:14">
      <c r="C8" s="11" t="s">
        <v>10</v>
      </c>
      <c r="F8" s="1">
        <v>1550</v>
      </c>
      <c r="G8" s="1">
        <v>16797</v>
      </c>
      <c r="H8" s="1">
        <v>23516</v>
      </c>
      <c r="I8" s="1">
        <v>41153</v>
      </c>
      <c r="J8" s="1">
        <v>61730</v>
      </c>
      <c r="K8" s="1">
        <v>92595</v>
      </c>
      <c r="L8" s="1">
        <v>138892</v>
      </c>
      <c r="M8" s="1">
        <v>138892</v>
      </c>
      <c r="N8" s="12">
        <v>138892</v>
      </c>
    </row>
    <row r="9" spans="3:14">
      <c r="C9" s="11" t="s">
        <v>11</v>
      </c>
      <c r="F9" s="1">
        <v>130</v>
      </c>
      <c r="G9" s="1">
        <v>3607</v>
      </c>
      <c r="H9" s="1">
        <v>3030</v>
      </c>
      <c r="I9" s="1">
        <v>4642</v>
      </c>
      <c r="J9" s="1">
        <v>8193</v>
      </c>
      <c r="K9" s="1">
        <v>11934</v>
      </c>
      <c r="L9" s="1">
        <v>18121</v>
      </c>
      <c r="M9" s="1">
        <v>18121</v>
      </c>
      <c r="N9" s="12">
        <v>18121</v>
      </c>
    </row>
    <row r="10" spans="3:14">
      <c r="C10" s="11" t="s">
        <v>12</v>
      </c>
      <c r="F10" s="1">
        <f>F9/F8*100</f>
        <v>8.38709677419355</v>
      </c>
      <c r="G10" s="1">
        <f t="shared" ref="G10:N10" si="0">G9/G8*100</f>
        <v>21.4740727510865</v>
      </c>
      <c r="H10" s="1">
        <f t="shared" si="0"/>
        <v>12.8848443612859</v>
      </c>
      <c r="I10" s="1">
        <f t="shared" si="0"/>
        <v>11.2798580905402</v>
      </c>
      <c r="J10" s="1">
        <f t="shared" si="0"/>
        <v>13.2723149198121</v>
      </c>
      <c r="K10" s="1">
        <f t="shared" si="0"/>
        <v>12.8883849019925</v>
      </c>
      <c r="L10" s="1">
        <f t="shared" si="0"/>
        <v>13.0468277510584</v>
      </c>
      <c r="M10" s="1">
        <f t="shared" si="0"/>
        <v>13.0468277510584</v>
      </c>
      <c r="N10" s="12">
        <f t="shared" si="0"/>
        <v>13.0468277510584</v>
      </c>
    </row>
    <row r="11" spans="3:14">
      <c r="C11" s="11" t="s">
        <v>13</v>
      </c>
      <c r="F11" s="1" t="s">
        <v>14</v>
      </c>
      <c r="G11" s="1" t="s">
        <v>14</v>
      </c>
      <c r="H11" s="1" t="s">
        <v>14</v>
      </c>
      <c r="I11" s="1" t="s">
        <v>14</v>
      </c>
      <c r="J11" s="1" t="s">
        <v>14</v>
      </c>
      <c r="K11" s="1" t="s">
        <v>14</v>
      </c>
      <c r="L11" s="1" t="s">
        <v>14</v>
      </c>
      <c r="M11" s="1" t="s">
        <v>14</v>
      </c>
      <c r="N11" s="12" t="s">
        <v>14</v>
      </c>
    </row>
    <row r="12" spans="3:14">
      <c r="C12" s="11" t="s">
        <v>15</v>
      </c>
      <c r="G12" s="1">
        <f>G14/G8</f>
        <v>3.57206644043579</v>
      </c>
      <c r="H12" s="1">
        <f t="shared" ref="H12:N12" si="1">H14/H8</f>
        <v>2.97669671712876</v>
      </c>
      <c r="I12" s="1">
        <f t="shared" si="1"/>
        <v>2.25597161810804</v>
      </c>
      <c r="J12" s="1">
        <f t="shared" si="1"/>
        <v>2.65446298396242</v>
      </c>
      <c r="K12" s="1">
        <f t="shared" si="1"/>
        <v>2.57767698039851</v>
      </c>
      <c r="L12" s="1">
        <f t="shared" si="1"/>
        <v>3.91404832531751</v>
      </c>
      <c r="M12" s="1">
        <f t="shared" si="1"/>
        <v>5.21873110042335</v>
      </c>
      <c r="N12" s="12">
        <f t="shared" si="1"/>
        <v>6.52341387552919</v>
      </c>
    </row>
    <row r="13" spans="3:14">
      <c r="C13" s="11" t="s">
        <v>16</v>
      </c>
      <c r="G13" s="1">
        <f>G14/G9</f>
        <v>16.6343221513723</v>
      </c>
      <c r="H13" s="13">
        <f>H14/H9</f>
        <v>23.1023102310231</v>
      </c>
      <c r="I13" s="13">
        <v>20</v>
      </c>
      <c r="J13" s="13">
        <v>20</v>
      </c>
      <c r="K13" s="13">
        <v>20</v>
      </c>
      <c r="L13" s="13">
        <v>30</v>
      </c>
      <c r="M13" s="13">
        <v>40</v>
      </c>
      <c r="N13" s="14">
        <v>50</v>
      </c>
    </row>
    <row r="14" spans="3:14">
      <c r="C14" s="11" t="s">
        <v>17</v>
      </c>
      <c r="G14" s="1">
        <v>60000</v>
      </c>
      <c r="H14" s="13">
        <v>70000</v>
      </c>
      <c r="I14" s="1">
        <f t="shared" ref="I14:K14" si="2">I9*I13</f>
        <v>92840</v>
      </c>
      <c r="J14" s="1">
        <f t="shared" si="2"/>
        <v>163860</v>
      </c>
      <c r="K14" s="1">
        <f t="shared" si="2"/>
        <v>238680</v>
      </c>
      <c r="L14" s="1">
        <f t="shared" ref="L14" si="3">L9*L13</f>
        <v>543630</v>
      </c>
      <c r="M14" s="1">
        <f t="shared" ref="M14" si="4">M9*M13</f>
        <v>724840</v>
      </c>
      <c r="N14" s="12">
        <f t="shared" ref="N14" si="5">N9*N13</f>
        <v>906050</v>
      </c>
    </row>
    <row r="15" spans="3:14">
      <c r="C15" s="11" t="s">
        <v>18</v>
      </c>
      <c r="G15" s="1">
        <f>G16/G14*100</f>
        <v>5</v>
      </c>
      <c r="H15" s="1">
        <f>G15*(1-H4)</f>
        <v>4.5</v>
      </c>
      <c r="I15" s="1">
        <f>H15*(1-I4)</f>
        <v>4.05</v>
      </c>
      <c r="J15" s="1">
        <f>I15*(1-J4)</f>
        <v>4.05</v>
      </c>
      <c r="K15" s="1">
        <f>J15*(1-K4)</f>
        <v>3.0375</v>
      </c>
      <c r="L15" s="1">
        <f t="shared" ref="L15:N15" si="6">K15*(1-L4)</f>
        <v>3.0375</v>
      </c>
      <c r="M15" s="1">
        <f t="shared" si="6"/>
        <v>3.0375</v>
      </c>
      <c r="N15" s="12">
        <f t="shared" si="6"/>
        <v>3.0375</v>
      </c>
    </row>
    <row r="16" spans="3:14">
      <c r="C16" s="11" t="s">
        <v>19</v>
      </c>
      <c r="G16" s="1">
        <v>3000</v>
      </c>
      <c r="H16" s="1">
        <f>H14*H15/100</f>
        <v>3150</v>
      </c>
      <c r="I16" s="1">
        <f t="shared" ref="I16:K16" si="7">I14*I15/100</f>
        <v>3760.02</v>
      </c>
      <c r="J16" s="1">
        <f t="shared" si="7"/>
        <v>6636.33</v>
      </c>
      <c r="K16" s="1">
        <f t="shared" si="7"/>
        <v>7249.905</v>
      </c>
      <c r="L16" s="1">
        <f t="shared" ref="L16" si="8">L14*L15/100</f>
        <v>16512.76125</v>
      </c>
      <c r="M16" s="1">
        <f t="shared" ref="M16" si="9">M14*M15/100</f>
        <v>22017.015</v>
      </c>
      <c r="N16" s="12">
        <f t="shared" ref="N16" si="10">N14*N15/100</f>
        <v>27521.26875</v>
      </c>
    </row>
    <row r="17" spans="3:14">
      <c r="C17" s="11" t="s">
        <v>20</v>
      </c>
      <c r="G17" s="1">
        <v>3000</v>
      </c>
      <c r="N17" s="12"/>
    </row>
    <row r="18" spans="3:14">
      <c r="C18" s="11" t="s">
        <v>21</v>
      </c>
      <c r="H18" s="1">
        <f>H16-3000</f>
        <v>150</v>
      </c>
      <c r="I18" s="1">
        <f t="shared" ref="I18:N18" si="11">I16-3000</f>
        <v>760.02</v>
      </c>
      <c r="J18" s="1">
        <f t="shared" si="11"/>
        <v>3636.33</v>
      </c>
      <c r="K18" s="1">
        <f t="shared" si="11"/>
        <v>4249.905</v>
      </c>
      <c r="L18" s="1">
        <f t="shared" si="11"/>
        <v>13512.76125</v>
      </c>
      <c r="M18" s="1">
        <f t="shared" si="11"/>
        <v>19017.015</v>
      </c>
      <c r="N18" s="12">
        <f t="shared" si="11"/>
        <v>24521.26875</v>
      </c>
    </row>
    <row r="19" spans="3:14">
      <c r="C19" s="11" t="s">
        <v>22</v>
      </c>
      <c r="L19" s="1">
        <f>IRR(G28:L28)*100</f>
        <v>35.1215348503929</v>
      </c>
      <c r="M19" s="1">
        <f>IRR(G29:L29)*100</f>
        <v>44.6785737684232</v>
      </c>
      <c r="N19" s="12">
        <f>IRR(G30:L30)*100</f>
        <v>52.2244229771071</v>
      </c>
    </row>
    <row r="20" spans="3:14">
      <c r="C20" s="11" t="s">
        <v>23</v>
      </c>
      <c r="L20" s="1">
        <f>L16/G17</f>
        <v>5.50425375</v>
      </c>
      <c r="M20" s="1">
        <f>M16/G17</f>
        <v>7.339005</v>
      </c>
      <c r="N20" s="12">
        <f>N16/G17</f>
        <v>9.17375625</v>
      </c>
    </row>
    <row r="21" ht="18.35" spans="3:14">
      <c r="C21" s="15" t="s">
        <v>24</v>
      </c>
      <c r="D21" s="16"/>
      <c r="E21" s="16"/>
      <c r="F21" s="16"/>
      <c r="G21" s="16"/>
      <c r="H21" s="16"/>
      <c r="I21" s="16"/>
      <c r="J21" s="16"/>
      <c r="K21" s="16"/>
      <c r="L21" s="16">
        <f>L16/G17*100</f>
        <v>550.425375</v>
      </c>
      <c r="M21" s="16">
        <f>M16/G17*100</f>
        <v>733.9005</v>
      </c>
      <c r="N21" s="17">
        <f>N16/G17*100</f>
        <v>917.375625</v>
      </c>
    </row>
    <row r="23" spans="3:14">
      <c r="G23" s="1">
        <v>-3000</v>
      </c>
    </row>
    <row r="24" spans="3:14">
      <c r="G24" s="1">
        <v>-3000</v>
      </c>
      <c r="H24" s="1">
        <v>0</v>
      </c>
    </row>
    <row r="25" spans="3:14">
      <c r="G25" s="1">
        <v>-3000</v>
      </c>
      <c r="H25" s="1">
        <v>0</v>
      </c>
      <c r="I25" s="1">
        <v>0</v>
      </c>
    </row>
    <row r="26" spans="3:14">
      <c r="G26" s="1">
        <v>-3000</v>
      </c>
      <c r="H26" s="1">
        <v>0</v>
      </c>
      <c r="I26" s="1">
        <v>0</v>
      </c>
      <c r="J26" s="1">
        <v>0</v>
      </c>
    </row>
    <row r="27" spans="3:14">
      <c r="G27" s="1">
        <v>-3000</v>
      </c>
      <c r="H27" s="1">
        <v>0</v>
      </c>
      <c r="I27" s="1">
        <v>0</v>
      </c>
      <c r="J27" s="1">
        <v>0</v>
      </c>
      <c r="K27" s="1">
        <v>0</v>
      </c>
    </row>
    <row r="28" spans="3:14">
      <c r="G28" s="1">
        <v>-3000</v>
      </c>
      <c r="H28" s="1">
        <v>0</v>
      </c>
      <c r="I28" s="1">
        <v>0</v>
      </c>
      <c r="J28" s="1">
        <v>0</v>
      </c>
      <c r="K28" s="1">
        <v>0</v>
      </c>
      <c r="L28" s="1">
        <f>L18</f>
        <v>13512.76125</v>
      </c>
    </row>
    <row r="29" spans="3:14">
      <c r="G29" s="1">
        <v>-3000</v>
      </c>
      <c r="H29" s="1">
        <v>0</v>
      </c>
      <c r="I29" s="1">
        <v>0</v>
      </c>
      <c r="J29" s="1">
        <v>0</v>
      </c>
      <c r="K29" s="1">
        <v>0</v>
      </c>
      <c r="L29" s="1">
        <f>M18</f>
        <v>19017.015</v>
      </c>
    </row>
    <row r="30" spans="3:14">
      <c r="G30" s="1">
        <v>-3000</v>
      </c>
      <c r="H30" s="1">
        <v>0</v>
      </c>
      <c r="I30" s="1">
        <v>0</v>
      </c>
      <c r="J30" s="1">
        <v>0</v>
      </c>
      <c r="K30" s="1">
        <v>0</v>
      </c>
      <c r="L30" s="1">
        <f>N18</f>
        <v>24521.26875</v>
      </c>
    </row>
  </sheetData>
  <pageMargins left="0.7" right="0.7" top="0.75" bottom="0.75" header="0.3" footer="0.3"/>
  <headerFooter/>
  <ignoredErrors>
    <ignoredError sqref="H1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投资回报模型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JU$TIN</cp:lastModifiedBy>
  <dcterms:created xsi:type="dcterms:W3CDTF">2025-05-29T23:44:00Z</dcterms:created>
  <dcterms:modified xsi:type="dcterms:W3CDTF">2026-08-09T11:25:31Z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2BD9B2ACC1A18CE806F3776A5ACF5B12_42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